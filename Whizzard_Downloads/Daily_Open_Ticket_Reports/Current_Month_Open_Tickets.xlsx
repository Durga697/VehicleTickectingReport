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llonline-my.sharepoint.com/personal/29007851_mahindralogistics_com/Documents/Desktop/EDEL/Vehicle Ticketing/Whizzard_Downloads/Daily_Open_Ticket_Reports/"/>
    </mc:Choice>
  </mc:AlternateContent>
  <xr:revisionPtr revIDLastSave="37" documentId="11_9AAEDE53FC7EF716CFB37A251A0403ACBBC4EF7F" xr6:coauthVersionLast="47" xr6:coauthVersionMax="47" xr10:uidLastSave="{427DE8F9-AE65-4BF9-AD0C-CC0B7C501B90}"/>
  <bookViews>
    <workbookView xWindow="-110" yWindow="-110" windowWidth="19420" windowHeight="10300" xr2:uid="{00000000-000D-0000-FFFF-FFFF00000000}"/>
  </bookViews>
  <sheets>
    <sheet name="Open Ticket Summary" sheetId="1" r:id="rId1"/>
    <sheet name="Open Tickets" sheetId="2" r:id="rId2"/>
    <sheet name="All Current Month" sheetId="3" r:id="rId3"/>
  </sheets>
  <externalReferences>
    <externalReference r:id="rId4"/>
  </externalReferences>
  <definedNames>
    <definedName name="_xlnm._FilterDatabase" localSheetId="2" hidden="1">'All Current Month'!$A$1:$R$53</definedName>
    <definedName name="_xlnm._FilterDatabase" localSheetId="1" hidden="1">'Open Tickets'!$A$1:$K$26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3" l="1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28" i="3"/>
  <c r="R35" i="3"/>
  <c r="R36" i="3"/>
  <c r="R37" i="3"/>
  <c r="R40" i="3"/>
</calcChain>
</file>

<file path=xl/sharedStrings.xml><?xml version="1.0" encoding="utf-8"?>
<sst xmlns="http://schemas.openxmlformats.org/spreadsheetml/2006/main" count="965" uniqueCount="223">
  <si>
    <t>CURRENT MONTH OPEN TICKETS</t>
  </si>
  <si>
    <t>Open tickets at present</t>
  </si>
  <si>
    <t>Report month</t>
  </si>
  <si>
    <t>October 2026</t>
  </si>
  <si>
    <t>Generated on</t>
  </si>
  <si>
    <t>08 Oct 2026 12:28 PM</t>
  </si>
  <si>
    <t>Ticket Source</t>
  </si>
  <si>
    <t>Open</t>
  </si>
  <si>
    <t>All Current-Month Rows</t>
  </si>
  <si>
    <t>Action</t>
  </si>
  <si>
    <t>Return from Ops</t>
  </si>
  <si>
    <t>Close pending tickets</t>
  </si>
  <si>
    <t>Handover to Ops</t>
  </si>
  <si>
    <t>No open tickets</t>
  </si>
  <si>
    <t>Service Request</t>
  </si>
  <si>
    <t>Inter Station Transfer</t>
  </si>
  <si>
    <t>Vehicle Requisition</t>
  </si>
  <si>
    <t>TOTAL</t>
  </si>
  <si>
    <t>Ticket ID</t>
  </si>
  <si>
    <t>Vehicle No</t>
  </si>
  <si>
    <t>Site</t>
  </si>
  <si>
    <t>Assigned To</t>
  </si>
  <si>
    <t>Status</t>
  </si>
  <si>
    <t>Raised On</t>
  </si>
  <si>
    <t>Age (Days)</t>
  </si>
  <si>
    <t>Reason / Remarks</t>
  </si>
  <si>
    <t>Raised By</t>
  </si>
  <si>
    <t>Source File</t>
  </si>
  <si>
    <t>2610029</t>
  </si>
  <si>
    <t>DL51GD4222</t>
  </si>
  <si>
    <t>DEFG07</t>
  </si>
  <si>
    <t>Munnindra Kumar</t>
  </si>
  <si>
    <t>05 Oct 2026</t>
  </si>
  <si>
    <t>2 days</t>
  </si>
  <si>
    <t>No business requirement</t>
  </si>
  <si>
    <t>Anubhav Panday</t>
  </si>
  <si>
    <t>Return_from_Ops_2026-10.csv</t>
  </si>
  <si>
    <t>2610028</t>
  </si>
  <si>
    <t>BR01EC0844</t>
  </si>
  <si>
    <t>2610027</t>
  </si>
  <si>
    <t>DL51GD9166</t>
  </si>
  <si>
    <t>2610026</t>
  </si>
  <si>
    <t>BR01EC0890</t>
  </si>
  <si>
    <t>2610025</t>
  </si>
  <si>
    <t>DL51GD5141</t>
  </si>
  <si>
    <t>2610024</t>
  </si>
  <si>
    <t>DL51GD9172</t>
  </si>
  <si>
    <t>2610023</t>
  </si>
  <si>
    <t>DL51EV0355</t>
  </si>
  <si>
    <t>2610022</t>
  </si>
  <si>
    <t>DL51EV0376</t>
  </si>
  <si>
    <t>2610021</t>
  </si>
  <si>
    <t>DL51GD5078</t>
  </si>
  <si>
    <t>2610020</t>
  </si>
  <si>
    <t>DL51GD9116</t>
  </si>
  <si>
    <t>2610019</t>
  </si>
  <si>
    <t>DL51GD5197</t>
  </si>
  <si>
    <t>2610039</t>
  </si>
  <si>
    <t>TS09UD7802</t>
  </si>
  <si>
    <t>HYDM</t>
  </si>
  <si>
    <t>Balerao Ramesh</t>
  </si>
  <si>
    <t>08 Oct 2026</t>
  </si>
  <si>
    <t>vehicle brakes are not working</t>
  </si>
  <si>
    <t>Mulukuri Uha</t>
  </si>
  <si>
    <t>Service_Request_2026-10.csv</t>
  </si>
  <si>
    <t>2610005</t>
  </si>
  <si>
    <t>KA04AD1752</t>
  </si>
  <si>
    <t>BADE01</t>
  </si>
  <si>
    <t>S Kalleshappa</t>
  </si>
  <si>
    <t>01 Oct 2026</t>
  </si>
  <si>
    <t>moved to SC</t>
  </si>
  <si>
    <t>P.S Ekadanta</t>
  </si>
  <si>
    <t>2610004</t>
  </si>
  <si>
    <t>KA04AC8861</t>
  </si>
  <si>
    <t>BADE02</t>
  </si>
  <si>
    <t>VRQ-2610013</t>
  </si>
  <si>
    <t>HYBH</t>
  </si>
  <si>
    <t>07/10/2026</t>
  </si>
  <si>
    <t>1</t>
  </si>
  <si>
    <t>Syed Rameez</t>
  </si>
  <si>
    <t>Vehicle_Requisition_2026-10.csv</t>
  </si>
  <si>
    <t>VRQ-2610012</t>
  </si>
  <si>
    <t>VRQ-2610011</t>
  </si>
  <si>
    <t>VRQ-2610010</t>
  </si>
  <si>
    <t>HYBE</t>
  </si>
  <si>
    <t>Sridhar Mekala</t>
  </si>
  <si>
    <t>VRQ-2610009</t>
  </si>
  <si>
    <t>HYBZ</t>
  </si>
  <si>
    <t>VRQ-2610008</t>
  </si>
  <si>
    <t>VRQ-2610007</t>
  </si>
  <si>
    <t>VRQ-2610006</t>
  </si>
  <si>
    <t>VRQ-2610005</t>
  </si>
  <si>
    <t>VRQ-2610003</t>
  </si>
  <si>
    <t>KLHS</t>
  </si>
  <si>
    <t>Ninad Nandkishor Sawant</t>
  </si>
  <si>
    <t>05/10/2026</t>
  </si>
  <si>
    <t>3</t>
  </si>
  <si>
    <t>Sandip Kedarnath Salpure</t>
  </si>
  <si>
    <t>VRQ-2610002</t>
  </si>
  <si>
    <t>ISKO</t>
  </si>
  <si>
    <t>Site Code</t>
  </si>
  <si>
    <t>Client Name</t>
  </si>
  <si>
    <t>Entity</t>
  </si>
  <si>
    <t>Client</t>
  </si>
  <si>
    <t>Product</t>
  </si>
  <si>
    <t>Reason</t>
  </si>
  <si>
    <t>Remarks</t>
  </si>
  <si>
    <t>Accepted By</t>
  </si>
  <si>
    <t>Accepted On</t>
  </si>
  <si>
    <t>2610035</t>
  </si>
  <si>
    <t>TS09UD7737</t>
  </si>
  <si>
    <t>MLL_EDEL_DMART</t>
  </si>
  <si>
    <t>MLL</t>
  </si>
  <si>
    <t>EDEL</t>
  </si>
  <si>
    <t>DMART</t>
  </si>
  <si>
    <t>Vehicle in poor condition</t>
  </si>
  <si>
    <t>D-Mart is not accepting the vehicle due to frequent breakdowns</t>
  </si>
  <si>
    <t>Accepted</t>
  </si>
  <si>
    <t>06 Oct 2026</t>
  </si>
  <si>
    <t>1 days</t>
  </si>
  <si>
    <t>2610030</t>
  </si>
  <si>
    <t>DL51EV0365</t>
  </si>
  <si>
    <t>MLL_Flipkart_EV</t>
  </si>
  <si>
    <t>Flipkart</t>
  </si>
  <si>
    <t>EV</t>
  </si>
  <si>
    <t>site close</t>
  </si>
  <si>
    <t>0 days</t>
  </si>
  <si>
    <t>-</t>
  </si>
  <si>
    <t>2610009</t>
  </si>
  <si>
    <t>KA04AD1749</t>
  </si>
  <si>
    <t>MLL_Dmart_EV</t>
  </si>
  <si>
    <t>Dmart</t>
  </si>
  <si>
    <t>Others</t>
  </si>
  <si>
    <t>Break Down</t>
  </si>
  <si>
    <t>Sagar G</t>
  </si>
  <si>
    <t>4 days</t>
  </si>
  <si>
    <t>2610008</t>
  </si>
  <si>
    <t>KA04AC8519</t>
  </si>
  <si>
    <t>2610007</t>
  </si>
  <si>
    <t>KA04AC8524</t>
  </si>
  <si>
    <t>2610006</t>
  </si>
  <si>
    <t>KA04AD1736</t>
  </si>
  <si>
    <t>2610038</t>
  </si>
  <si>
    <t>DL51GD9164</t>
  </si>
  <si>
    <t>GURP</t>
  </si>
  <si>
    <t>Rakesh Singh</t>
  </si>
  <si>
    <t>WZ_Rivigo_PTL</t>
  </si>
  <si>
    <t>WZ</t>
  </si>
  <si>
    <t>Rivigo</t>
  </si>
  <si>
    <t>PTL</t>
  </si>
  <si>
    <t>Vehicle Handover to Ops</t>
  </si>
  <si>
    <t>07 Oct 2026</t>
  </si>
  <si>
    <t>2610018</t>
  </si>
  <si>
    <t>WB25L3215</t>
  </si>
  <si>
    <t>KKFG03</t>
  </si>
  <si>
    <t>Debanjan Sarkar</t>
  </si>
  <si>
    <t>MLL_Flipkart_OXD</t>
  </si>
  <si>
    <t>OXD</t>
  </si>
  <si>
    <t>Vehicle has been Deployed at Saltlake OXD</t>
  </si>
  <si>
    <t>Auto-Accepted</t>
  </si>
  <si>
    <t>System</t>
  </si>
  <si>
    <t>03 Oct 2026</t>
  </si>
  <si>
    <t>2610017</t>
  </si>
  <si>
    <t>GJ01TG0503</t>
  </si>
  <si>
    <t>2610016</t>
  </si>
  <si>
    <t>GJ06BU8597</t>
  </si>
  <si>
    <t>KKFG09</t>
  </si>
  <si>
    <t>Vehicle has been Deployed at Durgapur Hub</t>
  </si>
  <si>
    <t>2610014</t>
  </si>
  <si>
    <t>TS09UD7735</t>
  </si>
  <si>
    <t>HYBV</t>
  </si>
  <si>
    <t>WZ_Amazon_EDSP</t>
  </si>
  <si>
    <t>Amazon</t>
  </si>
  <si>
    <t>EDSP</t>
  </si>
  <si>
    <t>Vehcile connected on 02nd oct 2026 from SSV Engineering works Jeedimetla, Please accept the same.</t>
  </si>
  <si>
    <t>02 Oct 2026</t>
  </si>
  <si>
    <t>2610013</t>
  </si>
  <si>
    <t>TS09UD7774</t>
  </si>
  <si>
    <t>2610012</t>
  </si>
  <si>
    <t>TS09UD7736</t>
  </si>
  <si>
    <t>Vehicle Handover to HYDM Team Mr Aman, Kindly check and accept the same.</t>
  </si>
  <si>
    <t>2610011</t>
  </si>
  <si>
    <t>TS09UD6501</t>
  </si>
  <si>
    <t>As discussed, we have replaced other charged auxiliary battery yesterday and it's now working I have shared video clips to WhatsApp group , Hence check and accept the same.</t>
  </si>
  <si>
    <t>2610002</t>
  </si>
  <si>
    <t>WB25L2742</t>
  </si>
  <si>
    <t>Vehicle has been repaired &amp; handed over to hub</t>
  </si>
  <si>
    <t>04 Oct 2026</t>
  </si>
  <si>
    <t>2610001</t>
  </si>
  <si>
    <t>WB25K8499</t>
  </si>
  <si>
    <t>KKFG01</t>
  </si>
  <si>
    <t>Vehicle has been Deployed to Hub</t>
  </si>
  <si>
    <t>Anupam Das</t>
  </si>
  <si>
    <t>2610037</t>
  </si>
  <si>
    <t>DL51GD1629</t>
  </si>
  <si>
    <t>DEFE06</t>
  </si>
  <si>
    <t>EV not working</t>
  </si>
  <si>
    <t>Shubham Singh</t>
  </si>
  <si>
    <t>Closed</t>
  </si>
  <si>
    <t>2610036</t>
  </si>
  <si>
    <t>DL51GD8770</t>
  </si>
  <si>
    <t>2610034</t>
  </si>
  <si>
    <t>TS09UD7127</t>
  </si>
  <si>
    <t>Breakdown at Hub</t>
  </si>
  <si>
    <t>Santosh . S</t>
  </si>
  <si>
    <t>2610033</t>
  </si>
  <si>
    <t>D-Mart is currently not accepting this vehicle due to frequent breakdowns</t>
  </si>
  <si>
    <t>2610032</t>
  </si>
  <si>
    <t>Vehicle not operational due to a charging issue.</t>
  </si>
  <si>
    <t>2610031</t>
  </si>
  <si>
    <t>WB25L3238</t>
  </si>
  <si>
    <t>ASFG01</t>
  </si>
  <si>
    <t>BREAKDOWN</t>
  </si>
  <si>
    <t>2610015</t>
  </si>
  <si>
    <t>TS09UD7739</t>
  </si>
  <si>
    <t>Not Moveing</t>
  </si>
  <si>
    <t>2610010</t>
  </si>
  <si>
    <t>WB19L7244</t>
  </si>
  <si>
    <t>2610003</t>
  </si>
  <si>
    <t>The auxiliary battery issue has not been resolved yet.</t>
  </si>
  <si>
    <t>]</t>
  </si>
  <si>
    <t>Reasons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</si>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</sst>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b/>
      <sz val="14"/>
      <name val="Calibri"/>
      <family val="2"/>
    </font>
    <font>
      <b/>
      <sz val="20"/>
      <color rgb="FFC00000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1"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llonline-my.sharepoint.com/personal/29007851_mahindralogistics_com/Documents/Desktop/EDEL/Vehicle%20Ticketing/Whizzard_Downloads/Daily_Open_Ticket_Reports/Current_Month_Open_Tickets_07-10-26.xlsx" TargetMode="External"/><Relationship Id="rId1" Type="http://schemas.openxmlformats.org/officeDocument/2006/relationships/externalLinkPath" Target="Current_Month_Open_Tickets_07-10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 Ticket Summary"/>
      <sheetName val="Open Tickets"/>
      <sheetName val="All Current Month"/>
    </sheetNames>
    <sheetDataSet>
      <sheetData sheetId="0"/>
      <sheetData sheetId="1"/>
      <sheetData sheetId="2">
        <row r="1">
          <cell r="B1" t="str">
            <v>Ticket ID</v>
          </cell>
          <cell r="C1" t="str">
            <v>Vehicle No</v>
          </cell>
          <cell r="D1" t="str">
            <v>Site Code</v>
          </cell>
          <cell r="E1" t="str">
            <v>Assigned To</v>
          </cell>
          <cell r="F1" t="str">
            <v>Client Name</v>
          </cell>
          <cell r="G1" t="str">
            <v>Entity</v>
          </cell>
          <cell r="H1" t="str">
            <v>Client</v>
          </cell>
          <cell r="I1" t="str">
            <v>Product</v>
          </cell>
          <cell r="J1" t="str">
            <v>Reason</v>
          </cell>
          <cell r="K1" t="str">
            <v>Remarks</v>
          </cell>
          <cell r="L1" t="str">
            <v>Raised By</v>
          </cell>
          <cell r="M1" t="str">
            <v>Status</v>
          </cell>
          <cell r="N1" t="str">
            <v>Accepted By</v>
          </cell>
          <cell r="O1" t="str">
            <v>Accepted On</v>
          </cell>
          <cell r="P1" t="str">
            <v>Raised On</v>
          </cell>
          <cell r="Q1" t="str">
            <v>Age (Days)</v>
          </cell>
          <cell r="R1" t="str">
            <v>Last Action By</v>
          </cell>
          <cell r="S1" t="str">
            <v>Last Action On</v>
          </cell>
          <cell r="T1" t="str">
            <v>Vehicle</v>
          </cell>
          <cell r="U1" t="str">
            <v>Model</v>
          </cell>
          <cell r="V1" t="str">
            <v>Rent</v>
          </cell>
          <cell r="W1" t="str">
            <v>From Site</v>
          </cell>
          <cell r="X1" t="str">
            <v>From OM</v>
          </cell>
          <cell r="Y1" t="str">
            <v>To Site</v>
          </cell>
          <cell r="Z1" t="str">
            <v>To OM</v>
          </cell>
          <cell r="AA1" t="str">
            <v>Ticket Status</v>
          </cell>
          <cell r="AB1" t="str">
            <v>Ticket Number</v>
          </cell>
          <cell r="AC1" t="str">
            <v>Created On</v>
          </cell>
          <cell r="AD1" t="str">
            <v>Required Site Code</v>
          </cell>
          <cell r="AE1" t="str">
            <v>Vehicle Category</v>
          </cell>
          <cell r="AF1" t="str">
            <v>Ageing (Days)</v>
          </cell>
          <cell r="AG1" t="str">
            <v>Closing Ticket No</v>
          </cell>
          <cell r="AH1" t="str">
            <v>Closed On</v>
          </cell>
          <cell r="AI1" t="str">
            <v>Source File</v>
          </cell>
          <cell r="AJ1" t="str">
            <v>Reasons</v>
          </cell>
        </row>
        <row r="2">
          <cell r="B2" t="str">
            <v>2610035</v>
          </cell>
          <cell r="C2" t="str">
            <v>TS09UD7737</v>
          </cell>
          <cell r="D2" t="str">
            <v>HYDM</v>
          </cell>
          <cell r="E2" t="str">
            <v>Balerao Ramesh</v>
          </cell>
          <cell r="F2" t="str">
            <v>MLL_EDEL_DMART</v>
          </cell>
          <cell r="G2" t="str">
            <v>MLL</v>
          </cell>
          <cell r="H2" t="str">
            <v>EDEL</v>
          </cell>
          <cell r="I2" t="str">
            <v>DMART</v>
          </cell>
          <cell r="J2" t="str">
            <v>Vehicle in poor condition</v>
          </cell>
          <cell r="K2" t="str">
            <v>D-Mart is not accepting the vehicle due to frequent breakdowns</v>
          </cell>
          <cell r="L2" t="str">
            <v>Mulukuri Uha</v>
          </cell>
          <cell r="M2" t="str">
            <v>Open</v>
          </cell>
          <cell r="N2" t="str">
            <v>-</v>
          </cell>
          <cell r="O2" t="str">
            <v>-</v>
          </cell>
          <cell r="P2" t="str">
            <v>06 Oct 2026</v>
          </cell>
          <cell r="Q2" t="str">
            <v>0 days</v>
          </cell>
          <cell r="AI2" t="str">
            <v>Return_from_Ops_2026-10.csv</v>
          </cell>
          <cell r="AJ2" t="str">
            <v>I need to reach the site and check the vehicles before closing .</v>
          </cell>
        </row>
        <row r="3">
          <cell r="B3" t="str">
            <v>2610030</v>
          </cell>
          <cell r="C3" t="str">
            <v>DL51EV0365</v>
          </cell>
          <cell r="D3" t="str">
            <v>DEFG07</v>
          </cell>
          <cell r="E3" t="str">
            <v>Munnindra Kumar</v>
          </cell>
          <cell r="F3" t="str">
            <v>MLL_Flipkart_EV</v>
          </cell>
          <cell r="G3" t="str">
            <v>MLL</v>
          </cell>
          <cell r="H3" t="str">
            <v>Flipkart</v>
          </cell>
          <cell r="I3" t="str">
            <v>EV</v>
          </cell>
          <cell r="J3" t="str">
            <v>No business requirement</v>
          </cell>
          <cell r="K3" t="str">
            <v>site close</v>
          </cell>
          <cell r="L3" t="str">
            <v>Anubhav Panday</v>
          </cell>
          <cell r="M3" t="str">
            <v>Accepted</v>
          </cell>
          <cell r="N3" t="str">
            <v>Munnindra Kumar</v>
          </cell>
          <cell r="O3" t="str">
            <v>06 Oct 2026</v>
          </cell>
          <cell r="P3" t="str">
            <v>05 Oct 2026</v>
          </cell>
          <cell r="Q3" t="str">
            <v>0 days</v>
          </cell>
          <cell r="AI3" t="str">
            <v>Return_from_Ops_2026-10.csv</v>
          </cell>
          <cell r="AJ3" t="str">
            <v>Completed</v>
          </cell>
        </row>
        <row r="4">
          <cell r="B4" t="str">
            <v>2610029</v>
          </cell>
          <cell r="C4" t="str">
            <v>DL51GD4222</v>
          </cell>
          <cell r="D4" t="str">
            <v>DEFG07</v>
          </cell>
          <cell r="E4" t="str">
            <v>Munnindra Kumar</v>
          </cell>
          <cell r="F4" t="str">
            <v>MLL_Flipkart_EV</v>
          </cell>
          <cell r="G4" t="str">
            <v>MLL</v>
          </cell>
          <cell r="H4" t="str">
            <v>Flipkart</v>
          </cell>
          <cell r="I4" t="str">
            <v>EV</v>
          </cell>
          <cell r="J4" t="str">
            <v>No business requirement</v>
          </cell>
          <cell r="K4" t="str">
            <v>site close</v>
          </cell>
          <cell r="L4" t="str">
            <v>Anubhav Panday</v>
          </cell>
          <cell r="M4" t="str">
            <v>Open</v>
          </cell>
          <cell r="N4" t="str">
            <v>-</v>
          </cell>
          <cell r="O4" t="str">
            <v>-</v>
          </cell>
          <cell r="P4" t="str">
            <v>05 Oct 2026</v>
          </cell>
          <cell r="Q4" t="str">
            <v>1 days</v>
          </cell>
          <cell r="AI4" t="str">
            <v>Return_from_Ops_2026-10.csv</v>
          </cell>
          <cell r="AJ4" t="str">
            <v>I am currently not at the site. I will complete it after I reach the site.</v>
          </cell>
        </row>
        <row r="5">
          <cell r="B5" t="str">
            <v>2610028</v>
          </cell>
          <cell r="C5" t="str">
            <v>BR01EC0844</v>
          </cell>
          <cell r="D5" t="str">
            <v>DEFG07</v>
          </cell>
          <cell r="E5" t="str">
            <v>Munnindra Kumar</v>
          </cell>
          <cell r="F5" t="str">
            <v>MLL_Flipkart_EV</v>
          </cell>
          <cell r="G5" t="str">
            <v>MLL</v>
          </cell>
          <cell r="H5" t="str">
            <v>Flipkart</v>
          </cell>
          <cell r="I5" t="str">
            <v>EV</v>
          </cell>
          <cell r="J5" t="str">
            <v>No business requirement</v>
          </cell>
          <cell r="K5" t="str">
            <v>site close</v>
          </cell>
          <cell r="L5" t="str">
            <v>Anubhav Panday</v>
          </cell>
          <cell r="M5" t="str">
            <v>Open</v>
          </cell>
          <cell r="N5" t="str">
            <v>-</v>
          </cell>
          <cell r="O5" t="str">
            <v>-</v>
          </cell>
          <cell r="P5" t="str">
            <v>05 Oct 2026</v>
          </cell>
          <cell r="Q5" t="str">
            <v>1 days</v>
          </cell>
          <cell r="AI5" t="str">
            <v>Return_from_Ops_2026-10.csv</v>
          </cell>
          <cell r="AJ5" t="str">
            <v>I am currently not at the site. I will complete it after I reach the site.</v>
          </cell>
        </row>
        <row r="6">
          <cell r="B6" t="str">
            <v>2610027</v>
          </cell>
          <cell r="C6" t="str">
            <v>DL51GD9166</v>
          </cell>
          <cell r="D6" t="str">
            <v>DEFG07</v>
          </cell>
          <cell r="E6" t="str">
            <v>Munnindra Kumar</v>
          </cell>
          <cell r="F6" t="str">
            <v>MLL_Flipkart_EV</v>
          </cell>
          <cell r="G6" t="str">
            <v>MLL</v>
          </cell>
          <cell r="H6" t="str">
            <v>Flipkart</v>
          </cell>
          <cell r="I6" t="str">
            <v>EV</v>
          </cell>
          <cell r="J6" t="str">
            <v>No business requirement</v>
          </cell>
          <cell r="K6" t="str">
            <v>site close</v>
          </cell>
          <cell r="L6" t="str">
            <v>Anubhav Panday</v>
          </cell>
          <cell r="M6" t="str">
            <v>Open</v>
          </cell>
          <cell r="N6" t="str">
            <v>-</v>
          </cell>
          <cell r="O6" t="str">
            <v>-</v>
          </cell>
          <cell r="P6" t="str">
            <v>05 Oct 2026</v>
          </cell>
          <cell r="Q6" t="str">
            <v>1 days</v>
          </cell>
          <cell r="AI6" t="str">
            <v>Return_from_Ops_2026-10.csv</v>
          </cell>
          <cell r="AJ6" t="str">
            <v>I am currently not at the site. I will complete it after I reach the site.</v>
          </cell>
        </row>
        <row r="7">
          <cell r="B7" t="str">
            <v>2610026</v>
          </cell>
          <cell r="C7" t="str">
            <v>BR01EC0890</v>
          </cell>
          <cell r="D7" t="str">
            <v>DEFG07</v>
          </cell>
          <cell r="E7" t="str">
            <v>Munnindra Kumar</v>
          </cell>
          <cell r="F7" t="str">
            <v>MLL_Flipkart_EV</v>
          </cell>
          <cell r="G7" t="str">
            <v>MLL</v>
          </cell>
          <cell r="H7" t="str">
            <v>Flipkart</v>
          </cell>
          <cell r="I7" t="str">
            <v>EV</v>
          </cell>
          <cell r="J7" t="str">
            <v>No business requirement</v>
          </cell>
          <cell r="K7" t="str">
            <v>site close</v>
          </cell>
          <cell r="L7" t="str">
            <v>Anubhav Panday</v>
          </cell>
          <cell r="M7" t="str">
            <v>Open</v>
          </cell>
          <cell r="N7" t="str">
            <v>-</v>
          </cell>
          <cell r="O7" t="str">
            <v>-</v>
          </cell>
          <cell r="P7" t="str">
            <v>05 Oct 2026</v>
          </cell>
          <cell r="Q7" t="str">
            <v>1 days</v>
          </cell>
          <cell r="AI7" t="str">
            <v>Return_from_Ops_2026-10.csv</v>
          </cell>
          <cell r="AJ7" t="str">
            <v>I am currently not at the site. I will complete it after I reach the site.</v>
          </cell>
        </row>
        <row r="8">
          <cell r="B8" t="str">
            <v>2610025</v>
          </cell>
          <cell r="C8" t="str">
            <v>DL51GD5141</v>
          </cell>
          <cell r="D8" t="str">
            <v>DEFG07</v>
          </cell>
          <cell r="E8" t="str">
            <v>Munnindra Kumar</v>
          </cell>
          <cell r="F8" t="str">
            <v>MLL_Flipkart_EV</v>
          </cell>
          <cell r="G8" t="str">
            <v>MLL</v>
          </cell>
          <cell r="H8" t="str">
            <v>Flipkart</v>
          </cell>
          <cell r="I8" t="str">
            <v>EV</v>
          </cell>
          <cell r="J8" t="str">
            <v>No business requirement</v>
          </cell>
          <cell r="K8" t="str">
            <v>site close</v>
          </cell>
          <cell r="L8" t="str">
            <v>Anubhav Panday</v>
          </cell>
          <cell r="M8" t="str">
            <v>Open</v>
          </cell>
          <cell r="N8" t="str">
            <v>-</v>
          </cell>
          <cell r="O8" t="str">
            <v>-</v>
          </cell>
          <cell r="P8" t="str">
            <v>05 Oct 2026</v>
          </cell>
          <cell r="Q8" t="str">
            <v>1 days</v>
          </cell>
          <cell r="AI8" t="str">
            <v>Return_from_Ops_2026-10.csv</v>
          </cell>
          <cell r="AJ8" t="str">
            <v>I am currently not at the site. I will complete it after I reach the site.</v>
          </cell>
        </row>
        <row r="9">
          <cell r="B9" t="str">
            <v>2610024</v>
          </cell>
          <cell r="C9" t="str">
            <v>DL51GD9172</v>
          </cell>
          <cell r="D9" t="str">
            <v>DEFG07</v>
          </cell>
          <cell r="E9" t="str">
            <v>Munnindra Kumar</v>
          </cell>
          <cell r="F9" t="str">
            <v>MLL_Flipkart_EV</v>
          </cell>
          <cell r="G9" t="str">
            <v>MLL</v>
          </cell>
          <cell r="H9" t="str">
            <v>Flipkart</v>
          </cell>
          <cell r="I9" t="str">
            <v>EV</v>
          </cell>
          <cell r="J9" t="str">
            <v>No business requirement</v>
          </cell>
          <cell r="K9" t="str">
            <v>site close</v>
          </cell>
          <cell r="L9" t="str">
            <v>Anubhav Panday</v>
          </cell>
          <cell r="M9" t="str">
            <v>Open</v>
          </cell>
          <cell r="N9" t="str">
            <v>-</v>
          </cell>
          <cell r="O9" t="str">
            <v>-</v>
          </cell>
          <cell r="P9" t="str">
            <v>05 Oct 2026</v>
          </cell>
          <cell r="Q9" t="str">
            <v>1 days</v>
          </cell>
          <cell r="AI9" t="str">
            <v>Return_from_Ops_2026-10.csv</v>
          </cell>
          <cell r="AJ9" t="str">
            <v>I am currently not at the site. I will complete it after I reach the site.</v>
          </cell>
        </row>
        <row r="10">
          <cell r="B10" t="str">
            <v>2610023</v>
          </cell>
          <cell r="C10" t="str">
            <v>DL51EV0355</v>
          </cell>
          <cell r="D10" t="str">
            <v>DEFG07</v>
          </cell>
          <cell r="E10" t="str">
            <v>Munnindra Kumar</v>
          </cell>
          <cell r="F10" t="str">
            <v>MLL_Flipkart_EV</v>
          </cell>
          <cell r="G10" t="str">
            <v>MLL</v>
          </cell>
          <cell r="H10" t="str">
            <v>Flipkart</v>
          </cell>
          <cell r="I10" t="str">
            <v>EV</v>
          </cell>
          <cell r="J10" t="str">
            <v>No business requirement</v>
          </cell>
          <cell r="K10" t="str">
            <v>site close</v>
          </cell>
          <cell r="L10" t="str">
            <v>Anubhav Panday</v>
          </cell>
          <cell r="M10" t="str">
            <v>Open</v>
          </cell>
          <cell r="N10" t="str">
            <v>-</v>
          </cell>
          <cell r="O10" t="str">
            <v>-</v>
          </cell>
          <cell r="P10" t="str">
            <v>05 Oct 2026</v>
          </cell>
          <cell r="Q10" t="str">
            <v>1 days</v>
          </cell>
          <cell r="AI10" t="str">
            <v>Return_from_Ops_2026-10.csv</v>
          </cell>
          <cell r="AJ10" t="str">
            <v>I am currently not at the site. I will complete it after I reach the site.</v>
          </cell>
        </row>
        <row r="11">
          <cell r="B11" t="str">
            <v>2610022</v>
          </cell>
          <cell r="C11" t="str">
            <v>DL51EV0376</v>
          </cell>
          <cell r="D11" t="str">
            <v>DEFG07</v>
          </cell>
          <cell r="E11" t="str">
            <v>Munnindra Kumar</v>
          </cell>
          <cell r="F11" t="str">
            <v>MLL_Flipkart_EV</v>
          </cell>
          <cell r="G11" t="str">
            <v>MLL</v>
          </cell>
          <cell r="H11" t="str">
            <v>Flipkart</v>
          </cell>
          <cell r="I11" t="str">
            <v>EV</v>
          </cell>
          <cell r="J11" t="str">
            <v>No business requirement</v>
          </cell>
          <cell r="K11" t="str">
            <v>site close</v>
          </cell>
          <cell r="L11" t="str">
            <v>Anubhav Panday</v>
          </cell>
          <cell r="M11" t="str">
            <v>Open</v>
          </cell>
          <cell r="N11" t="str">
            <v>-</v>
          </cell>
          <cell r="O11" t="str">
            <v>-</v>
          </cell>
          <cell r="P11" t="str">
            <v>05 Oct 2026</v>
          </cell>
          <cell r="Q11" t="str">
            <v>1 days</v>
          </cell>
          <cell r="AI11" t="str">
            <v>Return_from_Ops_2026-10.csv</v>
          </cell>
          <cell r="AJ11" t="str">
            <v>I am currently not at the site. I will complete it after I reach the site.</v>
          </cell>
        </row>
        <row r="12">
          <cell r="B12" t="str">
            <v>2610021</v>
          </cell>
          <cell r="C12" t="str">
            <v>DL51GD5078</v>
          </cell>
          <cell r="D12" t="str">
            <v>DEFG07</v>
          </cell>
          <cell r="E12" t="str">
            <v>Munnindra Kumar</v>
          </cell>
          <cell r="F12" t="str">
            <v>MLL_Flipkart_EV</v>
          </cell>
          <cell r="G12" t="str">
            <v>MLL</v>
          </cell>
          <cell r="H12" t="str">
            <v>Flipkart</v>
          </cell>
          <cell r="I12" t="str">
            <v>EV</v>
          </cell>
          <cell r="J12" t="str">
            <v>No business requirement</v>
          </cell>
          <cell r="K12" t="str">
            <v>site close</v>
          </cell>
          <cell r="L12" t="str">
            <v>Anubhav Panday</v>
          </cell>
          <cell r="M12" t="str">
            <v>Open</v>
          </cell>
          <cell r="N12" t="str">
            <v>-</v>
          </cell>
          <cell r="O12" t="str">
            <v>-</v>
          </cell>
          <cell r="P12" t="str">
            <v>05 Oct 2026</v>
          </cell>
          <cell r="Q12" t="str">
            <v>1 days</v>
          </cell>
          <cell r="AI12" t="str">
            <v>Return_from_Ops_2026-10.csv</v>
          </cell>
          <cell r="AJ12" t="str">
            <v>I am currently not at the site. I will complete it after I reach the site.</v>
          </cell>
        </row>
        <row r="13">
          <cell r="B13" t="str">
            <v>2610020</v>
          </cell>
          <cell r="C13" t="str">
            <v>DL51GD9116</v>
          </cell>
          <cell r="D13" t="str">
            <v>DEFG07</v>
          </cell>
          <cell r="E13" t="str">
            <v>Munnindra Kumar</v>
          </cell>
          <cell r="F13" t="str">
            <v>MLL_Flipkart_EV</v>
          </cell>
          <cell r="G13" t="str">
            <v>MLL</v>
          </cell>
          <cell r="H13" t="str">
            <v>Flipkart</v>
          </cell>
          <cell r="I13" t="str">
            <v>EV</v>
          </cell>
          <cell r="J13" t="str">
            <v>No business requirement</v>
          </cell>
          <cell r="K13" t="str">
            <v>site close</v>
          </cell>
          <cell r="L13" t="str">
            <v>Anubhav Panday</v>
          </cell>
          <cell r="M13" t="str">
            <v>Open</v>
          </cell>
          <cell r="N13" t="str">
            <v>-</v>
          </cell>
          <cell r="O13" t="str">
            <v>-</v>
          </cell>
          <cell r="P13" t="str">
            <v>05 Oct 2026</v>
          </cell>
          <cell r="Q13" t="str">
            <v>1 days</v>
          </cell>
          <cell r="AI13" t="str">
            <v>Return_from_Ops_2026-10.csv</v>
          </cell>
          <cell r="AJ13" t="str">
            <v>I am currently not at the site. I will complete it after I reach the site.</v>
          </cell>
        </row>
        <row r="14">
          <cell r="B14" t="str">
            <v>2610019</v>
          </cell>
          <cell r="C14" t="str">
            <v>DL51GD5197</v>
          </cell>
          <cell r="D14" t="str">
            <v>DEFG07</v>
          </cell>
          <cell r="E14" t="str">
            <v>Munnindra Kumar</v>
          </cell>
          <cell r="F14" t="str">
            <v>MLL_Flipkart_EV</v>
          </cell>
          <cell r="G14" t="str">
            <v>MLL</v>
          </cell>
          <cell r="H14" t="str">
            <v>Flipkart</v>
          </cell>
          <cell r="I14" t="str">
            <v>EV</v>
          </cell>
          <cell r="J14" t="str">
            <v>No business requirement</v>
          </cell>
          <cell r="K14" t="str">
            <v>site close</v>
          </cell>
          <cell r="L14" t="str">
            <v>Anubhav Panday</v>
          </cell>
          <cell r="M14" t="str">
            <v>Open</v>
          </cell>
          <cell r="N14" t="str">
            <v>-</v>
          </cell>
          <cell r="O14" t="str">
            <v>-</v>
          </cell>
          <cell r="P14" t="str">
            <v>05 Oct 2026</v>
          </cell>
          <cell r="Q14" t="str">
            <v>1 days</v>
          </cell>
          <cell r="AI14" t="str">
            <v>Return_from_Ops_2026-10.csv</v>
          </cell>
          <cell r="AJ14" t="str">
            <v>I am currently not at the site. I will complete it after I reach the site.</v>
          </cell>
        </row>
        <row r="15">
          <cell r="B15" t="str">
            <v>2610009</v>
          </cell>
          <cell r="C15" t="str">
            <v>KA04AD1749</v>
          </cell>
          <cell r="D15" t="str">
            <v>BADE01</v>
          </cell>
          <cell r="E15" t="str">
            <v>P.S Ekadanta</v>
          </cell>
          <cell r="F15" t="str">
            <v>MLL_Dmart_EV</v>
          </cell>
          <cell r="G15" t="str">
            <v>MLL</v>
          </cell>
          <cell r="H15" t="str">
            <v>Dmart</v>
          </cell>
          <cell r="I15" t="str">
            <v>EV</v>
          </cell>
          <cell r="J15" t="str">
            <v>Others</v>
          </cell>
          <cell r="K15" t="str">
            <v>Break Down</v>
          </cell>
          <cell r="L15" t="str">
            <v>Sagar G</v>
          </cell>
          <cell r="M15" t="str">
            <v>Accepted</v>
          </cell>
          <cell r="N15" t="str">
            <v>P.S Ekadanta</v>
          </cell>
          <cell r="O15" t="str">
            <v>06 Oct 2026</v>
          </cell>
          <cell r="P15" t="str">
            <v>01 Oct 2026</v>
          </cell>
          <cell r="Q15" t="str">
            <v>4 days</v>
          </cell>
          <cell r="AI15" t="str">
            <v>Return_from_Ops_2026-10.csv</v>
          </cell>
          <cell r="AJ15" t="str">
            <v>Completed</v>
          </cell>
        </row>
        <row r="16">
          <cell r="B16" t="str">
            <v>2610008</v>
          </cell>
          <cell r="C16" t="str">
            <v>KA04AC8519</v>
          </cell>
          <cell r="D16" t="str">
            <v>BADE01</v>
          </cell>
          <cell r="E16" t="str">
            <v>P.S Ekadanta</v>
          </cell>
          <cell r="F16" t="str">
            <v>MLL_Dmart_EV</v>
          </cell>
          <cell r="G16" t="str">
            <v>MLL</v>
          </cell>
          <cell r="H16" t="str">
            <v>Dmart</v>
          </cell>
          <cell r="I16" t="str">
            <v>EV</v>
          </cell>
          <cell r="J16" t="str">
            <v>Others</v>
          </cell>
          <cell r="K16" t="str">
            <v>Break Down</v>
          </cell>
          <cell r="L16" t="str">
            <v>Sagar G</v>
          </cell>
          <cell r="M16" t="str">
            <v>Accepted</v>
          </cell>
          <cell r="N16" t="str">
            <v>P.S Ekadanta</v>
          </cell>
          <cell r="O16" t="str">
            <v>06 Oct 2026</v>
          </cell>
          <cell r="P16" t="str">
            <v>01 Oct 2026</v>
          </cell>
          <cell r="Q16" t="str">
            <v>4 days</v>
          </cell>
          <cell r="AI16" t="str">
            <v>Return_from_Ops_2026-10.csv</v>
          </cell>
          <cell r="AJ16" t="str">
            <v>Completed</v>
          </cell>
        </row>
        <row r="17">
          <cell r="B17" t="str">
            <v>2610007</v>
          </cell>
          <cell r="C17" t="str">
            <v>KA04AC8524</v>
          </cell>
          <cell r="D17" t="str">
            <v>BADE01</v>
          </cell>
          <cell r="E17" t="str">
            <v>P.S Ekadanta</v>
          </cell>
          <cell r="F17" t="str">
            <v>MLL_Dmart_EV</v>
          </cell>
          <cell r="G17" t="str">
            <v>MLL</v>
          </cell>
          <cell r="H17" t="str">
            <v>Dmart</v>
          </cell>
          <cell r="I17" t="str">
            <v>EV</v>
          </cell>
          <cell r="J17" t="str">
            <v>Others</v>
          </cell>
          <cell r="K17" t="str">
            <v>Break Down</v>
          </cell>
          <cell r="L17" t="str">
            <v>Sagar G</v>
          </cell>
          <cell r="M17" t="str">
            <v>Accepted</v>
          </cell>
          <cell r="N17" t="str">
            <v>P.S Ekadanta</v>
          </cell>
          <cell r="O17" t="str">
            <v>06 Oct 2026</v>
          </cell>
          <cell r="P17" t="str">
            <v>01 Oct 2026</v>
          </cell>
          <cell r="Q17" t="str">
            <v>4 days</v>
          </cell>
          <cell r="AI17" t="str">
            <v>Return_from_Ops_2026-10.csv</v>
          </cell>
          <cell r="AJ17" t="str">
            <v>Completed</v>
          </cell>
        </row>
        <row r="18">
          <cell r="B18" t="str">
            <v>2610006</v>
          </cell>
          <cell r="C18" t="str">
            <v>KA04AD1736</v>
          </cell>
          <cell r="D18" t="str">
            <v>BADE01</v>
          </cell>
          <cell r="E18" t="str">
            <v>P.S Ekadanta</v>
          </cell>
          <cell r="F18" t="str">
            <v>MLL_Dmart_EV</v>
          </cell>
          <cell r="G18" t="str">
            <v>MLL</v>
          </cell>
          <cell r="H18" t="str">
            <v>Dmart</v>
          </cell>
          <cell r="I18" t="str">
            <v>EV</v>
          </cell>
          <cell r="J18" t="str">
            <v>Others</v>
          </cell>
          <cell r="K18" t="str">
            <v>Break Down</v>
          </cell>
          <cell r="L18" t="str">
            <v>Sagar G</v>
          </cell>
          <cell r="M18" t="str">
            <v>Accepted</v>
          </cell>
          <cell r="N18" t="str">
            <v>P.S Ekadanta</v>
          </cell>
          <cell r="O18" t="str">
            <v>06 Oct 2026</v>
          </cell>
          <cell r="P18" t="str">
            <v>01 Oct 2026</v>
          </cell>
          <cell r="Q18" t="str">
            <v>4 days</v>
          </cell>
          <cell r="AI18" t="str">
            <v>Return_from_Ops_2026-10.csv</v>
          </cell>
          <cell r="AJ18" t="str">
            <v>Completed</v>
          </cell>
        </row>
        <row r="19">
          <cell r="B19" t="str">
            <v>2610018</v>
          </cell>
          <cell r="C19" t="str">
            <v>WB25L3215</v>
          </cell>
          <cell r="D19" t="str">
            <v>KKFG03</v>
          </cell>
          <cell r="E19" t="str">
            <v>Debanjan Sarkar</v>
          </cell>
          <cell r="F19" t="str">
            <v>MLL_Flipkart_OXD</v>
          </cell>
          <cell r="G19" t="str">
            <v>MLL</v>
          </cell>
          <cell r="H19" t="str">
            <v>Flipkart</v>
          </cell>
          <cell r="I19" t="str">
            <v>OXD</v>
          </cell>
          <cell r="K19" t="str">
            <v>Vehicle has been Deployed at Saltlake OXD</v>
          </cell>
          <cell r="L19" t="str">
            <v>Debanjan Sarkar</v>
          </cell>
          <cell r="M19" t="str">
            <v>Auto-Accepted</v>
          </cell>
          <cell r="N19" t="str">
            <v>System</v>
          </cell>
          <cell r="O19" t="str">
            <v>06 Oct 2026</v>
          </cell>
          <cell r="P19" t="str">
            <v>03 Oct 2026</v>
          </cell>
          <cell r="Q19" t="str">
            <v>2 days</v>
          </cell>
          <cell r="AI19" t="str">
            <v>Handover_to_Ops_2026-10.csv</v>
          </cell>
        </row>
        <row r="20">
          <cell r="B20" t="str">
            <v>2610017</v>
          </cell>
          <cell r="C20" t="str">
            <v>GJ01TG0503</v>
          </cell>
          <cell r="D20" t="str">
            <v>KKFG03</v>
          </cell>
          <cell r="E20" t="str">
            <v>Debanjan Sarkar</v>
          </cell>
          <cell r="F20" t="str">
            <v>MLL_Flipkart_OXD</v>
          </cell>
          <cell r="G20" t="str">
            <v>MLL</v>
          </cell>
          <cell r="H20" t="str">
            <v>Flipkart</v>
          </cell>
          <cell r="I20" t="str">
            <v>OXD</v>
          </cell>
          <cell r="K20" t="str">
            <v>Vehicle has been Deployed at Saltlake OXD</v>
          </cell>
          <cell r="L20" t="str">
            <v>Debanjan Sarkar</v>
          </cell>
          <cell r="M20" t="str">
            <v>Auto-Accepted</v>
          </cell>
          <cell r="N20" t="str">
            <v>System</v>
          </cell>
          <cell r="O20" t="str">
            <v>06 Oct 2026</v>
          </cell>
          <cell r="P20" t="str">
            <v>03 Oct 2026</v>
          </cell>
          <cell r="Q20" t="str">
            <v>2 days</v>
          </cell>
          <cell r="AI20" t="str">
            <v>Handover_to_Ops_2026-10.csv</v>
          </cell>
        </row>
        <row r="21">
          <cell r="B21" t="str">
            <v>2610016</v>
          </cell>
          <cell r="C21" t="str">
            <v>GJ06BU8597</v>
          </cell>
          <cell r="D21" t="str">
            <v>KKFG09</v>
          </cell>
          <cell r="E21" t="str">
            <v>Debanjan Sarkar</v>
          </cell>
          <cell r="F21" t="str">
            <v>MLL_Flipkart_OXD</v>
          </cell>
          <cell r="G21" t="str">
            <v>MLL</v>
          </cell>
          <cell r="H21" t="str">
            <v>Flipkart</v>
          </cell>
          <cell r="I21" t="str">
            <v>OXD</v>
          </cell>
          <cell r="K21" t="str">
            <v>Vehicle has been Deployed at Durgapur Hub</v>
          </cell>
          <cell r="L21" t="str">
            <v>Debanjan Sarkar</v>
          </cell>
          <cell r="M21" t="str">
            <v>Auto-Accepted</v>
          </cell>
          <cell r="N21" t="str">
            <v>System</v>
          </cell>
          <cell r="O21" t="str">
            <v>06 Oct 2026</v>
          </cell>
          <cell r="P21" t="str">
            <v>03 Oct 2026</v>
          </cell>
          <cell r="Q21" t="str">
            <v>2 days</v>
          </cell>
          <cell r="AI21" t="str">
            <v>Handover_to_Ops_2026-10.csv</v>
          </cell>
        </row>
        <row r="22">
          <cell r="B22" t="str">
            <v>2610014</v>
          </cell>
          <cell r="C22" t="str">
            <v>TS09UD7735</v>
          </cell>
          <cell r="D22" t="str">
            <v>HYBV</v>
          </cell>
          <cell r="E22" t="str">
            <v>Balerao Ramesh</v>
          </cell>
          <cell r="F22" t="str">
            <v>WZ_Amazon_EDSP</v>
          </cell>
          <cell r="G22" t="str">
            <v>WZ</v>
          </cell>
          <cell r="H22" t="str">
            <v>Amazon</v>
          </cell>
          <cell r="I22" t="str">
            <v>EDSP</v>
          </cell>
          <cell r="K22" t="str">
            <v>Vehcile connected on 02nd oct 2026 from SSV Engineering works Jeedimetla, Please accept the same.</v>
          </cell>
          <cell r="L22" t="str">
            <v>Balerao Ramesh</v>
          </cell>
          <cell r="M22" t="str">
            <v>Auto-Accepted</v>
          </cell>
          <cell r="N22" t="str">
            <v>System</v>
          </cell>
          <cell r="O22" t="str">
            <v>05 Oct 2026</v>
          </cell>
          <cell r="P22" t="str">
            <v>02 Oct 2026</v>
          </cell>
          <cell r="Q22" t="str">
            <v>2 days</v>
          </cell>
          <cell r="AI22" t="str">
            <v>Handover_to_Ops_2026-10.csv</v>
          </cell>
        </row>
        <row r="23">
          <cell r="B23" t="str">
            <v>2610013</v>
          </cell>
          <cell r="C23" t="str">
            <v>TS09UD7774</v>
          </cell>
          <cell r="D23" t="str">
            <v>HYBV</v>
          </cell>
          <cell r="E23" t="str">
            <v>Balerao Ramesh</v>
          </cell>
          <cell r="F23" t="str">
            <v>WZ_Amazon_EDSP</v>
          </cell>
          <cell r="G23" t="str">
            <v>WZ</v>
          </cell>
          <cell r="H23" t="str">
            <v>Amazon</v>
          </cell>
          <cell r="I23" t="str">
            <v>EDSP</v>
          </cell>
          <cell r="K23" t="str">
            <v>Vehcile connected on 02nd oct 2026 from SSV Engineering works Jeedimetla, Please accept the same.</v>
          </cell>
          <cell r="L23" t="str">
            <v>Balerao Ramesh</v>
          </cell>
          <cell r="M23" t="str">
            <v>Auto-Accepted</v>
          </cell>
          <cell r="N23" t="str">
            <v>System</v>
          </cell>
          <cell r="O23" t="str">
            <v>05 Oct 2026</v>
          </cell>
          <cell r="P23" t="str">
            <v>02 Oct 2026</v>
          </cell>
          <cell r="Q23" t="str">
            <v>2 days</v>
          </cell>
          <cell r="AI23" t="str">
            <v>Handover_to_Ops_2026-10.csv</v>
          </cell>
        </row>
        <row r="24">
          <cell r="B24" t="str">
            <v>2610012</v>
          </cell>
          <cell r="C24" t="str">
            <v>TS09UD7736</v>
          </cell>
          <cell r="D24" t="str">
            <v>HYDM</v>
          </cell>
          <cell r="E24" t="str">
            <v>Balerao Ramesh</v>
          </cell>
          <cell r="F24" t="str">
            <v>MLL_EDEL_DMART</v>
          </cell>
          <cell r="G24" t="str">
            <v>MLL</v>
          </cell>
          <cell r="H24" t="str">
            <v>EDEL</v>
          </cell>
          <cell r="I24" t="str">
            <v>DMART</v>
          </cell>
          <cell r="K24" t="str">
            <v>Vehicle Handover to HYDM Team Mr Aman, Kindly check and accept the same.</v>
          </cell>
          <cell r="L24" t="str">
            <v>Balerao Ramesh</v>
          </cell>
          <cell r="M24" t="str">
            <v>Auto-Accepted</v>
          </cell>
          <cell r="N24" t="str">
            <v>System</v>
          </cell>
          <cell r="O24" t="str">
            <v>05 Oct 2026</v>
          </cell>
          <cell r="P24" t="str">
            <v>02 Oct 2026</v>
          </cell>
          <cell r="Q24" t="str">
            <v>2 days</v>
          </cell>
          <cell r="AI24" t="str">
            <v>Handover_to_Ops_2026-10.csv</v>
          </cell>
        </row>
        <row r="25">
          <cell r="B25" t="str">
            <v>2610011</v>
          </cell>
          <cell r="C25" t="str">
            <v>TS09UD6501</v>
          </cell>
          <cell r="D25" t="str">
            <v>HYDM</v>
          </cell>
          <cell r="E25" t="str">
            <v>Balerao Ramesh</v>
          </cell>
          <cell r="F25" t="str">
            <v>MLL_EDEL_DMART</v>
          </cell>
          <cell r="G25" t="str">
            <v>MLL</v>
          </cell>
          <cell r="H25" t="str">
            <v>EDEL</v>
          </cell>
          <cell r="I25" t="str">
            <v>DMART</v>
          </cell>
          <cell r="K25" t="str">
            <v>As discussed, we have replaced other charged auxiliary battery yesterday and it's now working I have shared video clips to WhatsApp group , Hence check and accept the same.</v>
          </cell>
          <cell r="L25" t="str">
            <v>Balerao Ramesh</v>
          </cell>
          <cell r="M25" t="str">
            <v>Auto-Accepted</v>
          </cell>
          <cell r="N25" t="str">
            <v>System</v>
          </cell>
          <cell r="O25" t="str">
            <v>05 Oct 2026</v>
          </cell>
          <cell r="P25" t="str">
            <v>02 Oct 2026</v>
          </cell>
          <cell r="Q25" t="str">
            <v>2 days</v>
          </cell>
          <cell r="AI25" t="str">
            <v>Handover_to_Ops_2026-10.csv</v>
          </cell>
        </row>
        <row r="26">
          <cell r="B26" t="str">
            <v>2610002</v>
          </cell>
          <cell r="C26" t="str">
            <v>WB25L2742</v>
          </cell>
          <cell r="D26" t="str">
            <v>KKFG03</v>
          </cell>
          <cell r="E26" t="str">
            <v>Debanjan Sarkar</v>
          </cell>
          <cell r="F26" t="str">
            <v>MLL_Flipkart_OXD</v>
          </cell>
          <cell r="G26" t="str">
            <v>MLL</v>
          </cell>
          <cell r="H26" t="str">
            <v>Flipkart</v>
          </cell>
          <cell r="I26" t="str">
            <v>OXD</v>
          </cell>
          <cell r="K26" t="str">
            <v>Vehicle has been repaired &amp; handed over to hub</v>
          </cell>
          <cell r="L26" t="str">
            <v>Debanjan Sarkar</v>
          </cell>
          <cell r="M26" t="str">
            <v>Auto-Accepted</v>
          </cell>
          <cell r="N26" t="str">
            <v>System</v>
          </cell>
          <cell r="O26" t="str">
            <v>04 Oct 2026</v>
          </cell>
          <cell r="P26" t="str">
            <v>01 Oct 2026</v>
          </cell>
          <cell r="Q26" t="str">
            <v>2 days</v>
          </cell>
          <cell r="AI26" t="str">
            <v>Handover_to_Ops_2026-10.csv</v>
          </cell>
        </row>
        <row r="27">
          <cell r="B27" t="str">
            <v>2610001</v>
          </cell>
          <cell r="C27" t="str">
            <v>WB25K8499</v>
          </cell>
          <cell r="D27" t="str">
            <v>KKFG01</v>
          </cell>
          <cell r="E27" t="str">
            <v>Debanjan Sarkar</v>
          </cell>
          <cell r="F27" t="str">
            <v>MLL_Flipkart_OXD</v>
          </cell>
          <cell r="G27" t="str">
            <v>MLL</v>
          </cell>
          <cell r="H27" t="str">
            <v>Flipkart</v>
          </cell>
          <cell r="I27" t="str">
            <v>OXD</v>
          </cell>
          <cell r="K27" t="str">
            <v>Vehicle has been Deployed to Hub</v>
          </cell>
          <cell r="L27" t="str">
            <v>Debanjan Sarkar</v>
          </cell>
          <cell r="M27" t="str">
            <v>Accepted</v>
          </cell>
          <cell r="N27" t="str">
            <v>Anupam Das</v>
          </cell>
          <cell r="O27" t="str">
            <v>01 Oct 2026</v>
          </cell>
          <cell r="P27" t="str">
            <v>01 Oct 2026</v>
          </cell>
          <cell r="Q27" t="str">
            <v>0 days</v>
          </cell>
          <cell r="AI27" t="str">
            <v>Handover_to_Ops_2026-10.csv</v>
          </cell>
          <cell r="AJ27" t="str">
            <v>Completed</v>
          </cell>
        </row>
        <row r="28">
          <cell r="B28" t="str">
            <v>2610034</v>
          </cell>
          <cell r="C28" t="str">
            <v>TS09UD7127</v>
          </cell>
          <cell r="D28" t="str">
            <v>HYBV</v>
          </cell>
          <cell r="E28" t="str">
            <v>Balerao Ramesh</v>
          </cell>
          <cell r="F28" t="str">
            <v>WZ_Amazon_EDSP</v>
          </cell>
          <cell r="G28" t="str">
            <v>WZ</v>
          </cell>
          <cell r="H28" t="str">
            <v>Amazon</v>
          </cell>
          <cell r="I28" t="str">
            <v>EDSP</v>
          </cell>
          <cell r="J28" t="str">
            <v>Breakdown at Hub</v>
          </cell>
          <cell r="L28" t="str">
            <v>Santosh . S</v>
          </cell>
          <cell r="M28" t="str">
            <v>Open</v>
          </cell>
          <cell r="P28" t="str">
            <v>06 Oct 2026</v>
          </cell>
          <cell r="R28" t="str">
            <v>-</v>
          </cell>
          <cell r="S28" t="str">
            <v>-</v>
          </cell>
          <cell r="AI28" t="str">
            <v>Service_Request_2026-10.csv</v>
          </cell>
          <cell r="AJ28" t="str">
            <v>I need to reach the site and check the vehicles before closing .</v>
          </cell>
        </row>
        <row r="29">
          <cell r="B29" t="str">
            <v>2610033</v>
          </cell>
          <cell r="C29" t="str">
            <v>TS09UD7736</v>
          </cell>
          <cell r="D29" t="str">
            <v>HYDM</v>
          </cell>
          <cell r="E29" t="str">
            <v>Balerao Ramesh</v>
          </cell>
          <cell r="F29" t="str">
            <v>MLL_EDEL_DMART</v>
          </cell>
          <cell r="G29" t="str">
            <v>MLL</v>
          </cell>
          <cell r="H29" t="str">
            <v>EDEL</v>
          </cell>
          <cell r="I29" t="str">
            <v>DMART</v>
          </cell>
          <cell r="J29" t="str">
            <v>D-Mart is currently not accepting this vehicle due to frequent breakdowns</v>
          </cell>
          <cell r="L29" t="str">
            <v>Mulukuri Uha</v>
          </cell>
          <cell r="M29" t="str">
            <v>Open</v>
          </cell>
          <cell r="P29" t="str">
            <v>05 Oct 2026</v>
          </cell>
          <cell r="R29" t="str">
            <v>-</v>
          </cell>
          <cell r="S29" t="str">
            <v>-</v>
          </cell>
          <cell r="AI29" t="str">
            <v>Service_Request_2026-10.csv</v>
          </cell>
          <cell r="AJ29" t="str">
            <v>I need to reach the site and check the vehicles before closing .</v>
          </cell>
        </row>
        <row r="30">
          <cell r="B30" t="str">
            <v>2610032</v>
          </cell>
          <cell r="C30" t="str">
            <v>TS09UD6501</v>
          </cell>
          <cell r="D30" t="str">
            <v>HYDM</v>
          </cell>
          <cell r="E30" t="str">
            <v>Balerao Ramesh</v>
          </cell>
          <cell r="F30" t="str">
            <v>MLL_EDEL_DMART</v>
          </cell>
          <cell r="G30" t="str">
            <v>MLL</v>
          </cell>
          <cell r="H30" t="str">
            <v>EDEL</v>
          </cell>
          <cell r="I30" t="str">
            <v>DMART</v>
          </cell>
          <cell r="J30" t="str">
            <v>Vehicle not operational due to a charging issue.</v>
          </cell>
          <cell r="L30" t="str">
            <v>Mulukuri Uha</v>
          </cell>
          <cell r="M30" t="str">
            <v>Open</v>
          </cell>
          <cell r="P30" t="str">
            <v>05 Oct 2026</v>
          </cell>
          <cell r="R30" t="str">
            <v>-</v>
          </cell>
          <cell r="S30" t="str">
            <v>-</v>
          </cell>
          <cell r="AI30" t="str">
            <v>Service_Request_2026-10.csv</v>
          </cell>
          <cell r="AJ30" t="str">
            <v>I need to reach the site and check the vehicles before closing .</v>
          </cell>
        </row>
        <row r="31">
          <cell r="B31" t="str">
            <v>2610031</v>
          </cell>
          <cell r="C31" t="str">
            <v>WB25L3238</v>
          </cell>
          <cell r="D31" t="str">
            <v>ASFG01</v>
          </cell>
          <cell r="E31" t="str">
            <v>Debanjan Sarkar</v>
          </cell>
          <cell r="F31" t="str">
            <v>MLL_Flipkart_OXD</v>
          </cell>
          <cell r="G31" t="str">
            <v>MLL</v>
          </cell>
          <cell r="H31" t="str">
            <v>Flipkart</v>
          </cell>
          <cell r="I31" t="str">
            <v>OXD</v>
          </cell>
          <cell r="J31" t="str">
            <v>BREAKDOWN</v>
          </cell>
          <cell r="L31" t="str">
            <v>Anupam Das</v>
          </cell>
          <cell r="M31" t="str">
            <v>Accepted</v>
          </cell>
          <cell r="P31" t="str">
            <v>05 Oct 2026</v>
          </cell>
          <cell r="R31" t="str">
            <v>Debanjan Sarkar</v>
          </cell>
          <cell r="S31" t="str">
            <v>06 Oct 2026</v>
          </cell>
          <cell r="AI31" t="str">
            <v>Service_Request_2026-10.csv</v>
          </cell>
          <cell r="AJ31" t="str">
            <v>Completed</v>
          </cell>
        </row>
        <row r="32">
          <cell r="B32" t="str">
            <v>2610015</v>
          </cell>
          <cell r="C32" t="str">
            <v>TS09UD7739</v>
          </cell>
          <cell r="D32" t="str">
            <v>HYBZ</v>
          </cell>
          <cell r="E32" t="str">
            <v>Balerao Ramesh</v>
          </cell>
          <cell r="F32" t="str">
            <v>WZ_Amazon_EDSP</v>
          </cell>
          <cell r="G32" t="str">
            <v>WZ</v>
          </cell>
          <cell r="H32" t="str">
            <v>Amazon</v>
          </cell>
          <cell r="I32" t="str">
            <v>EDSP</v>
          </cell>
          <cell r="J32" t="str">
            <v>Not Moveing</v>
          </cell>
          <cell r="L32" t="str">
            <v>Sridhar Mekala</v>
          </cell>
          <cell r="M32" t="str">
            <v>Accepted</v>
          </cell>
          <cell r="P32" t="str">
            <v>02 Oct 2026</v>
          </cell>
          <cell r="R32" t="str">
            <v>System</v>
          </cell>
          <cell r="S32" t="str">
            <v>05 Oct 2026</v>
          </cell>
          <cell r="AI32" t="str">
            <v>Service_Request_2026-10.csv</v>
          </cell>
          <cell r="AJ32" t="str">
            <v>Completed</v>
          </cell>
        </row>
        <row r="33">
          <cell r="B33" t="str">
            <v>2610010</v>
          </cell>
          <cell r="C33" t="str">
            <v>WB19L7244</v>
          </cell>
          <cell r="D33" t="str">
            <v>KKFG09</v>
          </cell>
          <cell r="E33" t="str">
            <v>Debanjan Sarkar</v>
          </cell>
          <cell r="F33" t="str">
            <v>MLL_Flipkart_OXD</v>
          </cell>
          <cell r="G33" t="str">
            <v>MLL</v>
          </cell>
          <cell r="H33" t="str">
            <v>Flipkart</v>
          </cell>
          <cell r="I33" t="str">
            <v>OXD</v>
          </cell>
          <cell r="J33" t="str">
            <v>BREAKDOWN</v>
          </cell>
          <cell r="L33" t="str">
            <v>Anupam Das</v>
          </cell>
          <cell r="M33" t="str">
            <v>Accepted</v>
          </cell>
          <cell r="P33" t="str">
            <v>01 Oct 2026</v>
          </cell>
          <cell r="R33" t="str">
            <v>Debanjan Sarkar</v>
          </cell>
          <cell r="S33" t="str">
            <v>03 Oct 2026</v>
          </cell>
          <cell r="AI33" t="str">
            <v>Service_Request_2026-10.csv</v>
          </cell>
          <cell r="AJ33" t="str">
            <v>Completed</v>
          </cell>
        </row>
        <row r="34">
          <cell r="B34" t="str">
            <v>2610005</v>
          </cell>
          <cell r="C34" t="str">
            <v>KA04AD1752</v>
          </cell>
          <cell r="D34" t="str">
            <v>BADE01</v>
          </cell>
          <cell r="E34" t="str">
            <v>S Kalleshappa</v>
          </cell>
          <cell r="F34" t="str">
            <v>MLL_Dmart_EV</v>
          </cell>
          <cell r="G34" t="str">
            <v>MLL</v>
          </cell>
          <cell r="H34" t="str">
            <v>Dmart</v>
          </cell>
          <cell r="I34" t="str">
            <v>EV</v>
          </cell>
          <cell r="J34" t="str">
            <v>moved to SC</v>
          </cell>
          <cell r="L34" t="str">
            <v>P.S Ekadanta</v>
          </cell>
          <cell r="M34" t="str">
            <v>Open</v>
          </cell>
          <cell r="P34" t="str">
            <v>01 Oct 2026</v>
          </cell>
          <cell r="R34" t="str">
            <v>System</v>
          </cell>
          <cell r="S34" t="str">
            <v>06 Oct 2026</v>
          </cell>
          <cell r="AI34" t="str">
            <v>Service_Request_2026-10.csv</v>
          </cell>
        </row>
        <row r="35">
          <cell r="B35" t="str">
            <v>2610004</v>
          </cell>
          <cell r="C35" t="str">
            <v>KA04AC8861</v>
          </cell>
          <cell r="D35" t="str">
            <v>BADE02</v>
          </cell>
          <cell r="E35" t="str">
            <v>S Kalleshappa</v>
          </cell>
          <cell r="F35" t="str">
            <v>MLL_Dmart_EV</v>
          </cell>
          <cell r="G35" t="str">
            <v>MLL</v>
          </cell>
          <cell r="H35" t="str">
            <v>Dmart</v>
          </cell>
          <cell r="I35" t="str">
            <v>EV</v>
          </cell>
          <cell r="J35" t="str">
            <v>moved to SC</v>
          </cell>
          <cell r="L35" t="str">
            <v>P.S Ekadanta</v>
          </cell>
          <cell r="M35" t="str">
            <v>Open</v>
          </cell>
          <cell r="P35" t="str">
            <v>01 Oct 2026</v>
          </cell>
          <cell r="R35" t="str">
            <v>System</v>
          </cell>
          <cell r="S35" t="str">
            <v>06 Oct 2026</v>
          </cell>
          <cell r="AI35" t="str">
            <v>Service_Request_2026-10.csv</v>
          </cell>
        </row>
        <row r="36">
          <cell r="B36" t="str">
            <v>2610003</v>
          </cell>
          <cell r="C36" t="str">
            <v>TS09UD6501</v>
          </cell>
          <cell r="D36" t="str">
            <v>HYDM</v>
          </cell>
          <cell r="E36" t="str">
            <v>Balerao Ramesh</v>
          </cell>
          <cell r="F36" t="str">
            <v>MLL_EDEL_DMART</v>
          </cell>
          <cell r="G36" t="str">
            <v>MLL</v>
          </cell>
          <cell r="H36" t="str">
            <v>EDEL</v>
          </cell>
          <cell r="I36" t="str">
            <v>DMART</v>
          </cell>
          <cell r="J36" t="str">
            <v>The auxiliary battery issue has not been resolved yet.</v>
          </cell>
          <cell r="L36" t="str">
            <v>Mulukuri Uha</v>
          </cell>
          <cell r="M36" t="str">
            <v>Closed</v>
          </cell>
          <cell r="P36" t="str">
            <v>01 Oct 2026</v>
          </cell>
          <cell r="R36" t="str">
            <v>Balerao Ramesh</v>
          </cell>
          <cell r="S36" t="str">
            <v>01 Oct 2026</v>
          </cell>
          <cell r="AI36" t="str">
            <v>Service_Request_2026-10.csv</v>
          </cell>
          <cell r="AJ36" t="str">
            <v>Completed</v>
          </cell>
        </row>
        <row r="37">
          <cell r="E37" t="str">
            <v>Ninad Nandkishor Sawant</v>
          </cell>
          <cell r="L37" t="str">
            <v>Sandip Kedarnath Salpure</v>
          </cell>
          <cell r="M37" t="str">
            <v>Open</v>
          </cell>
          <cell r="AB37" t="str">
            <v>VRQ-2610003</v>
          </cell>
          <cell r="AC37" t="str">
            <v>05/10/2026</v>
          </cell>
          <cell r="AD37" t="str">
            <v>KLHS</v>
          </cell>
          <cell r="AE37" t="str">
            <v>3 Wheeler</v>
          </cell>
          <cell r="AF37" t="str">
            <v>2</v>
          </cell>
          <cell r="AI37" t="str">
            <v>Vehicle_Requisition_2026-10.csv</v>
          </cell>
        </row>
        <row r="38">
          <cell r="E38" t="str">
            <v>Ninad Nandkishor Sawant</v>
          </cell>
          <cell r="L38" t="str">
            <v>Sandip Kedarnath Salpure</v>
          </cell>
          <cell r="M38" t="str">
            <v>Open</v>
          </cell>
          <cell r="AB38" t="str">
            <v>VRQ-2610002</v>
          </cell>
          <cell r="AC38" t="str">
            <v>05/10/2026</v>
          </cell>
          <cell r="AD38" t="str">
            <v>ISKO</v>
          </cell>
          <cell r="AE38" t="str">
            <v>3 Wheeler Small</v>
          </cell>
          <cell r="AF38" t="str">
            <v>2</v>
          </cell>
          <cell r="AI38" t="str">
            <v>Vehicle_Requisition_2026-10.csv</v>
          </cell>
        </row>
        <row r="39">
          <cell r="E39" t="str">
            <v>Debanjan Sarkar</v>
          </cell>
          <cell r="L39" t="str">
            <v>Anupam Das</v>
          </cell>
          <cell r="M39" t="str">
            <v>Closed</v>
          </cell>
          <cell r="AB39" t="str">
            <v>VRQ-2610001</v>
          </cell>
          <cell r="AC39" t="str">
            <v>01/10/2026</v>
          </cell>
          <cell r="AD39" t="str">
            <v>KKFG09</v>
          </cell>
          <cell r="AE39" t="str">
            <v>3 Wheeler Small</v>
          </cell>
          <cell r="AF39" t="str">
            <v>5</v>
          </cell>
          <cell r="AG39" t="str">
            <v>2610016</v>
          </cell>
          <cell r="AH39" t="str">
            <v>06/10/2026</v>
          </cell>
          <cell r="AI39" t="str">
            <v>Vehicle_Requisition_2026-10.csv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showGridLines="0" tabSelected="1" workbookViewId="0">
      <pane ySplit="7" topLeftCell="A8" activePane="bottomLeft" state="frozen"/>
      <selection pane="bottomLeft" sqref="A1:D1"/>
    </sheetView>
  </sheetViews>
  <sheetFormatPr defaultRowHeight="14.5" x14ac:dyDescent="0.35"/>
  <cols>
    <col min="1" max="1" width="28" customWidth="1"/>
    <col min="2" max="2" width="22" customWidth="1"/>
    <col min="3" max="3" width="24" customWidth="1"/>
    <col min="4" max="4" width="23" customWidth="1"/>
  </cols>
  <sheetData>
    <row r="1" spans="1:4" ht="23.5" x14ac:dyDescent="0.55000000000000004">
      <c r="A1" s="5" t="s">
        <v>0</v>
      </c>
      <c r="B1" s="6"/>
      <c r="C1" s="6"/>
      <c r="D1" s="6"/>
    </row>
    <row r="3" spans="1:4" ht="26" x14ac:dyDescent="0.6">
      <c r="A3" s="1" t="s">
        <v>1</v>
      </c>
      <c r="B3" s="2">
        <v>25</v>
      </c>
    </row>
    <row r="4" spans="1:4" x14ac:dyDescent="0.35">
      <c r="A4" t="s">
        <v>2</v>
      </c>
      <c r="B4" t="s">
        <v>3</v>
      </c>
    </row>
    <row r="5" spans="1:4" x14ac:dyDescent="0.35">
      <c r="A5" t="s">
        <v>4</v>
      </c>
      <c r="B5" t="s">
        <v>5</v>
      </c>
    </row>
    <row r="7" spans="1:4" x14ac:dyDescent="0.35">
      <c r="A7" s="3" t="s">
        <v>6</v>
      </c>
      <c r="B7" s="3" t="s">
        <v>7</v>
      </c>
      <c r="C7" s="3" t="s">
        <v>8</v>
      </c>
      <c r="D7" s="3" t="s">
        <v>9</v>
      </c>
    </row>
    <row r="8" spans="1:4" x14ac:dyDescent="0.35">
      <c r="A8" t="s">
        <v>10</v>
      </c>
      <c r="B8">
        <v>11</v>
      </c>
      <c r="C8">
        <v>17</v>
      </c>
      <c r="D8" t="s">
        <v>11</v>
      </c>
    </row>
    <row r="9" spans="1:4" x14ac:dyDescent="0.35">
      <c r="A9" t="s">
        <v>12</v>
      </c>
      <c r="B9">
        <v>0</v>
      </c>
      <c r="C9">
        <v>10</v>
      </c>
      <c r="D9" t="s">
        <v>13</v>
      </c>
    </row>
    <row r="10" spans="1:4" x14ac:dyDescent="0.35">
      <c r="A10" t="s">
        <v>14</v>
      </c>
      <c r="B10">
        <v>3</v>
      </c>
      <c r="C10">
        <v>12</v>
      </c>
      <c r="D10" t="s">
        <v>11</v>
      </c>
    </row>
    <row r="11" spans="1:4" x14ac:dyDescent="0.35">
      <c r="A11" t="s">
        <v>15</v>
      </c>
      <c r="B11">
        <v>0</v>
      </c>
      <c r="C11">
        <v>0</v>
      </c>
      <c r="D11" t="s">
        <v>13</v>
      </c>
    </row>
    <row r="12" spans="1:4" x14ac:dyDescent="0.35">
      <c r="A12" t="s">
        <v>16</v>
      </c>
      <c r="B12">
        <v>11</v>
      </c>
      <c r="C12">
        <v>13</v>
      </c>
      <c r="D12" t="s">
        <v>11</v>
      </c>
    </row>
    <row r="13" spans="1:4" x14ac:dyDescent="0.35">
      <c r="A13" s="4" t="s">
        <v>17</v>
      </c>
      <c r="B13" s="4">
        <v>25</v>
      </c>
      <c r="C13" s="4">
        <v>52</v>
      </c>
      <c r="D13" s="4"/>
    </row>
  </sheetData>
  <mergeCells count="1">
    <mergeCell ref="A1:D1"/>
  </mergeCells>
  <conditionalFormatting sqref="B8:B12">
    <cfRule type="cellIs" dxfId="0" priority="1" operator="greater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"/>
  <sheetViews>
    <sheetView topLeftCell="E1" workbookViewId="0">
      <pane ySplit="1" topLeftCell="A18" activePane="bottomLeft" state="frozen"/>
      <selection pane="bottomLeft" activeCell="E15" sqref="E15"/>
    </sheetView>
  </sheetViews>
  <sheetFormatPr defaultRowHeight="14.5" x14ac:dyDescent="0.35"/>
  <cols>
    <col min="1" max="1" width="21" customWidth="1"/>
    <col min="2" max="2" width="13" customWidth="1"/>
    <col min="3" max="3" width="12" customWidth="1"/>
    <col min="4" max="4" width="11" customWidth="1"/>
    <col min="5" max="5" width="25" customWidth="1"/>
    <col min="6" max="6" width="11" customWidth="1"/>
    <col min="7" max="7" width="13" customWidth="1"/>
    <col min="8" max="8" width="12" customWidth="1"/>
    <col min="9" max="9" width="32" customWidth="1"/>
    <col min="10" max="10" width="26" customWidth="1"/>
    <col min="11" max="11" width="33" customWidth="1"/>
  </cols>
  <sheetData>
    <row r="1" spans="1:11" x14ac:dyDescent="0.35">
      <c r="A1" s="3" t="s">
        <v>6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</row>
    <row r="2" spans="1:11" x14ac:dyDescent="0.35">
      <c r="A2" t="s">
        <v>10</v>
      </c>
      <c r="B2" t="s">
        <v>28</v>
      </c>
      <c r="C2" t="s">
        <v>29</v>
      </c>
      <c r="D2" t="s">
        <v>30</v>
      </c>
      <c r="E2" t="s">
        <v>31</v>
      </c>
      <c r="F2" t="s">
        <v>7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</row>
    <row r="3" spans="1:11" x14ac:dyDescent="0.35">
      <c r="A3" t="s">
        <v>10</v>
      </c>
      <c r="B3" t="s">
        <v>37</v>
      </c>
      <c r="C3" t="s">
        <v>38</v>
      </c>
      <c r="D3" t="s">
        <v>30</v>
      </c>
      <c r="E3" t="s">
        <v>31</v>
      </c>
      <c r="F3" t="s">
        <v>7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</row>
    <row r="4" spans="1:11" x14ac:dyDescent="0.35">
      <c r="A4" t="s">
        <v>10</v>
      </c>
      <c r="B4" t="s">
        <v>39</v>
      </c>
      <c r="C4" t="s">
        <v>40</v>
      </c>
      <c r="D4" t="s">
        <v>30</v>
      </c>
      <c r="E4" t="s">
        <v>31</v>
      </c>
      <c r="F4" t="s">
        <v>7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</row>
    <row r="5" spans="1:11" x14ac:dyDescent="0.35">
      <c r="A5" t="s">
        <v>10</v>
      </c>
      <c r="B5" t="s">
        <v>41</v>
      </c>
      <c r="C5" t="s">
        <v>42</v>
      </c>
      <c r="D5" t="s">
        <v>30</v>
      </c>
      <c r="E5" t="s">
        <v>31</v>
      </c>
      <c r="F5" t="s">
        <v>7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</row>
    <row r="6" spans="1:11" x14ac:dyDescent="0.35">
      <c r="A6" t="s">
        <v>10</v>
      </c>
      <c r="B6" t="s">
        <v>43</v>
      </c>
      <c r="C6" t="s">
        <v>44</v>
      </c>
      <c r="D6" t="s">
        <v>30</v>
      </c>
      <c r="E6" t="s">
        <v>31</v>
      </c>
      <c r="F6" t="s">
        <v>7</v>
      </c>
      <c r="G6" t="s">
        <v>32</v>
      </c>
      <c r="H6" t="s">
        <v>33</v>
      </c>
      <c r="I6" t="s">
        <v>34</v>
      </c>
      <c r="J6" t="s">
        <v>35</v>
      </c>
      <c r="K6" t="s">
        <v>36</v>
      </c>
    </row>
    <row r="7" spans="1:11" x14ac:dyDescent="0.35">
      <c r="A7" t="s">
        <v>10</v>
      </c>
      <c r="B7" t="s">
        <v>45</v>
      </c>
      <c r="C7" t="s">
        <v>46</v>
      </c>
      <c r="D7" t="s">
        <v>30</v>
      </c>
      <c r="E7" t="s">
        <v>31</v>
      </c>
      <c r="F7" t="s">
        <v>7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11" x14ac:dyDescent="0.35">
      <c r="A8" t="s">
        <v>10</v>
      </c>
      <c r="B8" t="s">
        <v>47</v>
      </c>
      <c r="C8" t="s">
        <v>48</v>
      </c>
      <c r="D8" t="s">
        <v>30</v>
      </c>
      <c r="E8" t="s">
        <v>31</v>
      </c>
      <c r="F8" t="s">
        <v>7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</row>
    <row r="9" spans="1:11" x14ac:dyDescent="0.35">
      <c r="A9" t="s">
        <v>10</v>
      </c>
      <c r="B9" t="s">
        <v>49</v>
      </c>
      <c r="C9" t="s">
        <v>50</v>
      </c>
      <c r="D9" t="s">
        <v>30</v>
      </c>
      <c r="E9" t="s">
        <v>31</v>
      </c>
      <c r="F9" t="s">
        <v>7</v>
      </c>
      <c r="G9" t="s">
        <v>32</v>
      </c>
      <c r="H9" t="s">
        <v>33</v>
      </c>
      <c r="I9" t="s">
        <v>34</v>
      </c>
      <c r="J9" t="s">
        <v>35</v>
      </c>
      <c r="K9" t="s">
        <v>36</v>
      </c>
    </row>
    <row r="10" spans="1:11" x14ac:dyDescent="0.35">
      <c r="A10" t="s">
        <v>10</v>
      </c>
      <c r="B10" t="s">
        <v>51</v>
      </c>
      <c r="C10" t="s">
        <v>52</v>
      </c>
      <c r="D10" t="s">
        <v>30</v>
      </c>
      <c r="E10" t="s">
        <v>31</v>
      </c>
      <c r="F10" t="s">
        <v>7</v>
      </c>
      <c r="G10" t="s">
        <v>32</v>
      </c>
      <c r="H10" t="s">
        <v>33</v>
      </c>
      <c r="I10" t="s">
        <v>34</v>
      </c>
      <c r="J10" t="s">
        <v>35</v>
      </c>
      <c r="K10" t="s">
        <v>36</v>
      </c>
    </row>
    <row r="11" spans="1:11" x14ac:dyDescent="0.35">
      <c r="A11" t="s">
        <v>10</v>
      </c>
      <c r="B11" t="s">
        <v>53</v>
      </c>
      <c r="C11" t="s">
        <v>54</v>
      </c>
      <c r="D11" t="s">
        <v>30</v>
      </c>
      <c r="E11" t="s">
        <v>31</v>
      </c>
      <c r="F11" t="s">
        <v>7</v>
      </c>
      <c r="G11" t="s">
        <v>32</v>
      </c>
      <c r="H11" t="s">
        <v>33</v>
      </c>
      <c r="I11" t="s">
        <v>34</v>
      </c>
      <c r="J11" t="s">
        <v>35</v>
      </c>
      <c r="K11" t="s">
        <v>36</v>
      </c>
    </row>
    <row r="12" spans="1:11" x14ac:dyDescent="0.35">
      <c r="A12" t="s">
        <v>10</v>
      </c>
      <c r="B12" t="s">
        <v>55</v>
      </c>
      <c r="C12" t="s">
        <v>56</v>
      </c>
      <c r="D12" t="s">
        <v>30</v>
      </c>
      <c r="E12" t="s">
        <v>31</v>
      </c>
      <c r="F12" t="s">
        <v>7</v>
      </c>
      <c r="G12" t="s">
        <v>32</v>
      </c>
      <c r="H12" t="s">
        <v>33</v>
      </c>
      <c r="I12" t="s">
        <v>34</v>
      </c>
      <c r="J12" t="s">
        <v>35</v>
      </c>
      <c r="K12" t="s">
        <v>36</v>
      </c>
    </row>
    <row r="13" spans="1:11" x14ac:dyDescent="0.35">
      <c r="A13" t="s">
        <v>14</v>
      </c>
      <c r="B13" t="s">
        <v>57</v>
      </c>
      <c r="C13" t="s">
        <v>58</v>
      </c>
      <c r="D13" t="s">
        <v>59</v>
      </c>
      <c r="E13" t="s">
        <v>60</v>
      </c>
      <c r="F13" t="s">
        <v>7</v>
      </c>
      <c r="G13" t="s">
        <v>61</v>
      </c>
      <c r="I13" t="s">
        <v>62</v>
      </c>
      <c r="J13" t="s">
        <v>63</v>
      </c>
      <c r="K13" t="s">
        <v>64</v>
      </c>
    </row>
    <row r="14" spans="1:11" x14ac:dyDescent="0.35">
      <c r="A14" t="s">
        <v>14</v>
      </c>
      <c r="B14" t="s">
        <v>65</v>
      </c>
      <c r="C14" t="s">
        <v>66</v>
      </c>
      <c r="D14" t="s">
        <v>67</v>
      </c>
      <c r="E14" t="s">
        <v>68</v>
      </c>
      <c r="F14" t="s">
        <v>7</v>
      </c>
      <c r="G14" t="s">
        <v>69</v>
      </c>
      <c r="I14" t="s">
        <v>70</v>
      </c>
      <c r="J14" t="s">
        <v>71</v>
      </c>
      <c r="K14" t="s">
        <v>64</v>
      </c>
    </row>
    <row r="15" spans="1:11" x14ac:dyDescent="0.35">
      <c r="A15" t="s">
        <v>14</v>
      </c>
      <c r="B15" t="s">
        <v>72</v>
      </c>
      <c r="C15" t="s">
        <v>73</v>
      </c>
      <c r="D15" t="s">
        <v>74</v>
      </c>
      <c r="E15" t="s">
        <v>68</v>
      </c>
      <c r="F15" t="s">
        <v>7</v>
      </c>
      <c r="G15" t="s">
        <v>69</v>
      </c>
      <c r="I15" t="s">
        <v>70</v>
      </c>
      <c r="J15" t="s">
        <v>71</v>
      </c>
      <c r="K15" t="s">
        <v>64</v>
      </c>
    </row>
    <row r="16" spans="1:11" x14ac:dyDescent="0.35">
      <c r="A16" t="s">
        <v>16</v>
      </c>
      <c r="B16" t="s">
        <v>75</v>
      </c>
      <c r="D16" t="s">
        <v>76</v>
      </c>
      <c r="E16" t="s">
        <v>60</v>
      </c>
      <c r="F16" t="s">
        <v>7</v>
      </c>
      <c r="G16" t="s">
        <v>77</v>
      </c>
      <c r="H16" t="s">
        <v>78</v>
      </c>
      <c r="J16" t="s">
        <v>79</v>
      </c>
      <c r="K16" t="s">
        <v>80</v>
      </c>
    </row>
    <row r="17" spans="1:11" x14ac:dyDescent="0.35">
      <c r="A17" t="s">
        <v>16</v>
      </c>
      <c r="B17" t="s">
        <v>81</v>
      </c>
      <c r="D17" t="s">
        <v>76</v>
      </c>
      <c r="E17" t="s">
        <v>60</v>
      </c>
      <c r="F17" t="s">
        <v>7</v>
      </c>
      <c r="G17" t="s">
        <v>77</v>
      </c>
      <c r="H17" t="s">
        <v>78</v>
      </c>
      <c r="J17" t="s">
        <v>79</v>
      </c>
      <c r="K17" t="s">
        <v>80</v>
      </c>
    </row>
    <row r="18" spans="1:11" x14ac:dyDescent="0.35">
      <c r="A18" t="s">
        <v>16</v>
      </c>
      <c r="B18" t="s">
        <v>82</v>
      </c>
      <c r="D18" t="s">
        <v>76</v>
      </c>
      <c r="E18" t="s">
        <v>60</v>
      </c>
      <c r="F18" t="s">
        <v>7</v>
      </c>
      <c r="G18" t="s">
        <v>77</v>
      </c>
      <c r="H18" t="s">
        <v>78</v>
      </c>
      <c r="J18" t="s">
        <v>79</v>
      </c>
      <c r="K18" t="s">
        <v>80</v>
      </c>
    </row>
    <row r="19" spans="1:11" x14ac:dyDescent="0.35">
      <c r="A19" t="s">
        <v>16</v>
      </c>
      <c r="B19" t="s">
        <v>83</v>
      </c>
      <c r="D19" t="s">
        <v>84</v>
      </c>
      <c r="E19" t="s">
        <v>60</v>
      </c>
      <c r="F19" t="s">
        <v>7</v>
      </c>
      <c r="G19" t="s">
        <v>77</v>
      </c>
      <c r="H19" t="s">
        <v>78</v>
      </c>
      <c r="J19" t="s">
        <v>85</v>
      </c>
      <c r="K19" t="s">
        <v>80</v>
      </c>
    </row>
    <row r="20" spans="1:11" x14ac:dyDescent="0.35">
      <c r="A20" t="s">
        <v>16</v>
      </c>
      <c r="B20" t="s">
        <v>86</v>
      </c>
      <c r="D20" t="s">
        <v>87</v>
      </c>
      <c r="E20" t="s">
        <v>60</v>
      </c>
      <c r="F20" t="s">
        <v>7</v>
      </c>
      <c r="G20" t="s">
        <v>77</v>
      </c>
      <c r="H20" t="s">
        <v>78</v>
      </c>
      <c r="J20" t="s">
        <v>85</v>
      </c>
      <c r="K20" t="s">
        <v>80</v>
      </c>
    </row>
    <row r="21" spans="1:11" x14ac:dyDescent="0.35">
      <c r="A21" t="s">
        <v>16</v>
      </c>
      <c r="B21" t="s">
        <v>88</v>
      </c>
      <c r="D21" t="s">
        <v>87</v>
      </c>
      <c r="E21" t="s">
        <v>60</v>
      </c>
      <c r="F21" t="s">
        <v>7</v>
      </c>
      <c r="G21" t="s">
        <v>77</v>
      </c>
      <c r="H21" t="s">
        <v>78</v>
      </c>
      <c r="J21" t="s">
        <v>85</v>
      </c>
      <c r="K21" t="s">
        <v>80</v>
      </c>
    </row>
    <row r="22" spans="1:11" x14ac:dyDescent="0.35">
      <c r="A22" t="s">
        <v>16</v>
      </c>
      <c r="B22" t="s">
        <v>89</v>
      </c>
      <c r="D22" t="s">
        <v>87</v>
      </c>
      <c r="E22" t="s">
        <v>60</v>
      </c>
      <c r="F22" t="s">
        <v>7</v>
      </c>
      <c r="G22" t="s">
        <v>77</v>
      </c>
      <c r="H22" t="s">
        <v>78</v>
      </c>
      <c r="J22" t="s">
        <v>85</v>
      </c>
      <c r="K22" t="s">
        <v>80</v>
      </c>
    </row>
    <row r="23" spans="1:11" x14ac:dyDescent="0.35">
      <c r="A23" t="s">
        <v>16</v>
      </c>
      <c r="B23" t="s">
        <v>90</v>
      </c>
      <c r="D23" t="s">
        <v>87</v>
      </c>
      <c r="E23" t="s">
        <v>60</v>
      </c>
      <c r="F23" t="s">
        <v>7</v>
      </c>
      <c r="G23" t="s">
        <v>77</v>
      </c>
      <c r="H23" t="s">
        <v>78</v>
      </c>
      <c r="J23" t="s">
        <v>85</v>
      </c>
      <c r="K23" t="s">
        <v>80</v>
      </c>
    </row>
    <row r="24" spans="1:11" x14ac:dyDescent="0.35">
      <c r="A24" t="s">
        <v>16</v>
      </c>
      <c r="B24" t="s">
        <v>91</v>
      </c>
      <c r="D24" t="s">
        <v>87</v>
      </c>
      <c r="E24" t="s">
        <v>60</v>
      </c>
      <c r="F24" t="s">
        <v>7</v>
      </c>
      <c r="G24" t="s">
        <v>77</v>
      </c>
      <c r="H24" t="s">
        <v>78</v>
      </c>
      <c r="J24" t="s">
        <v>85</v>
      </c>
      <c r="K24" t="s">
        <v>80</v>
      </c>
    </row>
    <row r="25" spans="1:11" x14ac:dyDescent="0.35">
      <c r="A25" t="s">
        <v>16</v>
      </c>
      <c r="B25" t="s">
        <v>92</v>
      </c>
      <c r="D25" t="s">
        <v>93</v>
      </c>
      <c r="E25" t="s">
        <v>94</v>
      </c>
      <c r="F25" t="s">
        <v>7</v>
      </c>
      <c r="G25" t="s">
        <v>95</v>
      </c>
      <c r="H25" t="s">
        <v>96</v>
      </c>
      <c r="J25" t="s">
        <v>97</v>
      </c>
      <c r="K25" t="s">
        <v>80</v>
      </c>
    </row>
    <row r="26" spans="1:11" x14ac:dyDescent="0.35">
      <c r="A26" t="s">
        <v>16</v>
      </c>
      <c r="B26" t="s">
        <v>98</v>
      </c>
      <c r="D26" t="s">
        <v>99</v>
      </c>
      <c r="E26" t="s">
        <v>94</v>
      </c>
      <c r="F26" t="s">
        <v>7</v>
      </c>
      <c r="G26" t="s">
        <v>95</v>
      </c>
      <c r="H26" t="s">
        <v>96</v>
      </c>
      <c r="J26" t="s">
        <v>97</v>
      </c>
      <c r="K26" t="s">
        <v>80</v>
      </c>
    </row>
  </sheetData>
  <autoFilter ref="A1:K2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3"/>
  <sheetViews>
    <sheetView topLeftCell="G1" workbookViewId="0">
      <pane ySplit="1" topLeftCell="A2" activePane="bottomLeft" state="frozen"/>
      <selection pane="bottomLeft" activeCell="M1" sqref="M1"/>
    </sheetView>
  </sheetViews>
  <sheetFormatPr defaultRowHeight="14.5" x14ac:dyDescent="0.35"/>
  <cols>
    <col min="1" max="1" width="21" customWidth="1"/>
    <col min="2" max="2" width="11" customWidth="1"/>
    <col min="3" max="3" width="12" customWidth="1"/>
    <col min="4" max="4" width="11" customWidth="1"/>
    <col min="5" max="5" width="25" customWidth="1"/>
    <col min="6" max="6" width="18" customWidth="1"/>
    <col min="7" max="9" width="11" customWidth="1"/>
    <col min="10" max="11" width="38" customWidth="1"/>
    <col min="12" max="12" width="26" customWidth="1"/>
    <col min="13" max="13" width="15" customWidth="1"/>
    <col min="14" max="14" width="17" customWidth="1"/>
    <col min="15" max="16" width="13" customWidth="1"/>
    <col min="17" max="17" width="12" customWidth="1"/>
  </cols>
  <sheetData>
    <row r="1" spans="1:18" x14ac:dyDescent="0.35">
      <c r="A1" s="3" t="s">
        <v>220</v>
      </c>
      <c r="B1" s="3" t="s">
        <v>18</v>
      </c>
      <c r="C1" s="3" t="s">
        <v>19</v>
      </c>
      <c r="D1" s="3" t="s">
        <v>100</v>
      </c>
      <c r="E1" s="3" t="s">
        <v>21</v>
      </c>
      <c r="F1" s="3" t="s">
        <v>101</v>
      </c>
      <c r="G1" s="3" t="s">
        <v>102</v>
      </c>
      <c r="H1" s="3" t="s">
        <v>103</v>
      </c>
      <c r="I1" s="3" t="s">
        <v>104</v>
      </c>
      <c r="J1" s="3" t="s">
        <v>105</v>
      </c>
      <c r="K1" s="3" t="s">
        <v>106</v>
      </c>
      <c r="L1" s="3" t="s">
        <v>26</v>
      </c>
      <c r="M1" s="3" t="s">
        <v>22</v>
      </c>
      <c r="N1" s="3" t="s">
        <v>107</v>
      </c>
      <c r="O1" s="3" t="s">
        <v>108</v>
      </c>
      <c r="P1" s="3" t="s">
        <v>23</v>
      </c>
      <c r="Q1" s="3" t="s">
        <v>24</v>
      </c>
      <c r="R1" s="3" t="s">
        <v>221</v>
      </c>
    </row>
    <row r="2" spans="1:18" x14ac:dyDescent="0.35">
      <c r="A2" t="s">
        <v>10</v>
      </c>
      <c r="B2" t="s">
        <v>109</v>
      </c>
      <c r="C2" t="s">
        <v>110</v>
      </c>
      <c r="D2" t="s">
        <v>59</v>
      </c>
      <c r="E2" t="s">
        <v>60</v>
      </c>
      <c r="F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116</v>
      </c>
      <c r="L2" t="s">
        <v>63</v>
      </c>
      <c r="M2" t="s">
        <v>117</v>
      </c>
      <c r="N2" t="s">
        <v>60</v>
      </c>
      <c r="O2" t="s">
        <v>61</v>
      </c>
      <c r="P2" t="s">
        <v>118</v>
      </c>
      <c r="Q2" t="s">
        <v>119</v>
      </c>
      <c r="R2" t="s">
        <v>222</v>
      </c>
    </row>
    <row r="3" spans="1:18" x14ac:dyDescent="0.35">
      <c r="A3" t="s">
        <v>10</v>
      </c>
      <c r="B3" t="s">
        <v>120</v>
      </c>
      <c r="C3" t="s">
        <v>121</v>
      </c>
      <c r="D3" t="s">
        <v>30</v>
      </c>
      <c r="E3" t="s">
        <v>31</v>
      </c>
      <c r="F3" t="s">
        <v>122</v>
      </c>
      <c r="G3" t="s">
        <v>112</v>
      </c>
      <c r="H3" t="s">
        <v>123</v>
      </c>
      <c r="I3" t="s">
        <v>124</v>
      </c>
      <c r="J3" t="s">
        <v>34</v>
      </c>
      <c r="K3" t="s">
        <v>125</v>
      </c>
      <c r="L3" t="s">
        <v>35</v>
      </c>
      <c r="M3" t="s">
        <v>117</v>
      </c>
      <c r="N3" t="s">
        <v>31</v>
      </c>
      <c r="O3" t="s">
        <v>118</v>
      </c>
      <c r="P3" t="s">
        <v>32</v>
      </c>
      <c r="Q3" t="s">
        <v>126</v>
      </c>
      <c r="R3" t="str">
        <f>VLOOKUP(B3,'[1]All Current Month'!$B:$AJ,35,0)</f>
        <v>Completed</v>
      </c>
    </row>
    <row r="4" spans="1:18" x14ac:dyDescent="0.35">
      <c r="A4" t="s">
        <v>10</v>
      </c>
      <c r="B4" t="s">
        <v>28</v>
      </c>
      <c r="C4" t="s">
        <v>29</v>
      </c>
      <c r="D4" t="s">
        <v>30</v>
      </c>
      <c r="E4" t="s">
        <v>31</v>
      </c>
      <c r="F4" t="s">
        <v>122</v>
      </c>
      <c r="G4" t="s">
        <v>112</v>
      </c>
      <c r="H4" t="s">
        <v>123</v>
      </c>
      <c r="I4" t="s">
        <v>124</v>
      </c>
      <c r="J4" t="s">
        <v>34</v>
      </c>
      <c r="K4" t="s">
        <v>125</v>
      </c>
      <c r="L4" t="s">
        <v>35</v>
      </c>
      <c r="M4" t="s">
        <v>7</v>
      </c>
      <c r="N4" t="s">
        <v>127</v>
      </c>
      <c r="O4" t="s">
        <v>127</v>
      </c>
      <c r="P4" t="s">
        <v>32</v>
      </c>
      <c r="Q4" t="s">
        <v>33</v>
      </c>
      <c r="R4" t="str">
        <f>VLOOKUP(B4,'[1]All Current Month'!$B:$AJ,35,0)</f>
        <v>I am currently not at the site. I will complete it after I reach the site.</v>
      </c>
    </row>
    <row r="5" spans="1:18" x14ac:dyDescent="0.35">
      <c r="A5" t="s">
        <v>10</v>
      </c>
      <c r="B5" t="s">
        <v>37</v>
      </c>
      <c r="C5" t="s">
        <v>38</v>
      </c>
      <c r="D5" t="s">
        <v>30</v>
      </c>
      <c r="E5" t="s">
        <v>31</v>
      </c>
      <c r="F5" t="s">
        <v>122</v>
      </c>
      <c r="G5" t="s">
        <v>112</v>
      </c>
      <c r="H5" t="s">
        <v>123</v>
      </c>
      <c r="I5" t="s">
        <v>124</v>
      </c>
      <c r="J5" t="s">
        <v>34</v>
      </c>
      <c r="K5" t="s">
        <v>125</v>
      </c>
      <c r="L5" t="s">
        <v>35</v>
      </c>
      <c r="M5" t="s">
        <v>7</v>
      </c>
      <c r="N5" t="s">
        <v>127</v>
      </c>
      <c r="O5" t="s">
        <v>127</v>
      </c>
      <c r="P5" t="s">
        <v>32</v>
      </c>
      <c r="Q5" t="s">
        <v>33</v>
      </c>
      <c r="R5" t="str">
        <f>VLOOKUP(B5,'[1]All Current Month'!$B:$AJ,35,0)</f>
        <v>I am currently not at the site. I will complete it after I reach the site.</v>
      </c>
    </row>
    <row r="6" spans="1:18" x14ac:dyDescent="0.35">
      <c r="A6" t="s">
        <v>10</v>
      </c>
      <c r="B6" t="s">
        <v>39</v>
      </c>
      <c r="C6" t="s">
        <v>40</v>
      </c>
      <c r="D6" t="s">
        <v>30</v>
      </c>
      <c r="E6" t="s">
        <v>31</v>
      </c>
      <c r="F6" t="s">
        <v>122</v>
      </c>
      <c r="G6" t="s">
        <v>112</v>
      </c>
      <c r="H6" t="s">
        <v>123</v>
      </c>
      <c r="I6" t="s">
        <v>124</v>
      </c>
      <c r="J6" t="s">
        <v>34</v>
      </c>
      <c r="K6" t="s">
        <v>125</v>
      </c>
      <c r="L6" t="s">
        <v>35</v>
      </c>
      <c r="M6" t="s">
        <v>7</v>
      </c>
      <c r="N6" t="s">
        <v>127</v>
      </c>
      <c r="O6" t="s">
        <v>127</v>
      </c>
      <c r="P6" t="s">
        <v>32</v>
      </c>
      <c r="Q6" t="s">
        <v>33</v>
      </c>
      <c r="R6" t="str">
        <f>VLOOKUP(B6,'[1]All Current Month'!$B:$AJ,35,0)</f>
        <v>I am currently not at the site. I will complete it after I reach the site.</v>
      </c>
    </row>
    <row r="7" spans="1:18" x14ac:dyDescent="0.35">
      <c r="A7" t="s">
        <v>10</v>
      </c>
      <c r="B7" t="s">
        <v>41</v>
      </c>
      <c r="C7" t="s">
        <v>42</v>
      </c>
      <c r="D7" t="s">
        <v>30</v>
      </c>
      <c r="E7" t="s">
        <v>31</v>
      </c>
      <c r="F7" t="s">
        <v>122</v>
      </c>
      <c r="G7" t="s">
        <v>112</v>
      </c>
      <c r="H7" t="s">
        <v>123</v>
      </c>
      <c r="I7" t="s">
        <v>124</v>
      </c>
      <c r="J7" t="s">
        <v>34</v>
      </c>
      <c r="K7" t="s">
        <v>125</v>
      </c>
      <c r="L7" t="s">
        <v>35</v>
      </c>
      <c r="M7" t="s">
        <v>7</v>
      </c>
      <c r="N7" t="s">
        <v>127</v>
      </c>
      <c r="O7" t="s">
        <v>127</v>
      </c>
      <c r="P7" t="s">
        <v>32</v>
      </c>
      <c r="Q7" t="s">
        <v>33</v>
      </c>
      <c r="R7" t="str">
        <f>VLOOKUP(B7,'[1]All Current Month'!$B:$AJ,35,0)</f>
        <v>I am currently not at the site. I will complete it after I reach the site.</v>
      </c>
    </row>
    <row r="8" spans="1:18" x14ac:dyDescent="0.35">
      <c r="A8" t="s">
        <v>10</v>
      </c>
      <c r="B8" t="s">
        <v>43</v>
      </c>
      <c r="C8" t="s">
        <v>44</v>
      </c>
      <c r="D8" t="s">
        <v>30</v>
      </c>
      <c r="E8" t="s">
        <v>31</v>
      </c>
      <c r="F8" t="s">
        <v>122</v>
      </c>
      <c r="G8" t="s">
        <v>112</v>
      </c>
      <c r="H8" t="s">
        <v>123</v>
      </c>
      <c r="I8" t="s">
        <v>124</v>
      </c>
      <c r="J8" t="s">
        <v>34</v>
      </c>
      <c r="K8" t="s">
        <v>125</v>
      </c>
      <c r="L8" t="s">
        <v>35</v>
      </c>
      <c r="M8" t="s">
        <v>7</v>
      </c>
      <c r="N8" t="s">
        <v>127</v>
      </c>
      <c r="O8" t="s">
        <v>127</v>
      </c>
      <c r="P8" t="s">
        <v>32</v>
      </c>
      <c r="Q8" t="s">
        <v>33</v>
      </c>
      <c r="R8" t="str">
        <f>VLOOKUP(B8,'[1]All Current Month'!$B:$AJ,35,0)</f>
        <v>I am currently not at the site. I will complete it after I reach the site.</v>
      </c>
    </row>
    <row r="9" spans="1:18" x14ac:dyDescent="0.35">
      <c r="A9" t="s">
        <v>10</v>
      </c>
      <c r="B9" t="s">
        <v>45</v>
      </c>
      <c r="C9" t="s">
        <v>46</v>
      </c>
      <c r="D9" t="s">
        <v>30</v>
      </c>
      <c r="E9" t="s">
        <v>31</v>
      </c>
      <c r="F9" t="s">
        <v>122</v>
      </c>
      <c r="G9" t="s">
        <v>112</v>
      </c>
      <c r="H9" t="s">
        <v>123</v>
      </c>
      <c r="I9" t="s">
        <v>124</v>
      </c>
      <c r="J9" t="s">
        <v>34</v>
      </c>
      <c r="K9" t="s">
        <v>125</v>
      </c>
      <c r="L9" t="s">
        <v>35</v>
      </c>
      <c r="M9" t="s">
        <v>7</v>
      </c>
      <c r="N9" t="s">
        <v>127</v>
      </c>
      <c r="O9" t="s">
        <v>127</v>
      </c>
      <c r="P9" t="s">
        <v>32</v>
      </c>
      <c r="Q9" t="s">
        <v>33</v>
      </c>
      <c r="R9" t="str">
        <f>VLOOKUP(B9,'[1]All Current Month'!$B:$AJ,35,0)</f>
        <v>I am currently not at the site. I will complete it after I reach the site.</v>
      </c>
    </row>
    <row r="10" spans="1:18" x14ac:dyDescent="0.35">
      <c r="A10" t="s">
        <v>10</v>
      </c>
      <c r="B10" t="s">
        <v>47</v>
      </c>
      <c r="C10" t="s">
        <v>48</v>
      </c>
      <c r="D10" t="s">
        <v>30</v>
      </c>
      <c r="E10" t="s">
        <v>31</v>
      </c>
      <c r="F10" t="s">
        <v>122</v>
      </c>
      <c r="G10" t="s">
        <v>112</v>
      </c>
      <c r="H10" t="s">
        <v>123</v>
      </c>
      <c r="I10" t="s">
        <v>124</v>
      </c>
      <c r="J10" t="s">
        <v>34</v>
      </c>
      <c r="K10" t="s">
        <v>125</v>
      </c>
      <c r="L10" t="s">
        <v>35</v>
      </c>
      <c r="M10" t="s">
        <v>7</v>
      </c>
      <c r="N10" t="s">
        <v>127</v>
      </c>
      <c r="O10" t="s">
        <v>127</v>
      </c>
      <c r="P10" t="s">
        <v>32</v>
      </c>
      <c r="Q10" t="s">
        <v>33</v>
      </c>
      <c r="R10" t="str">
        <f>VLOOKUP(B10,'[1]All Current Month'!$B:$AJ,35,0)</f>
        <v>I am currently not at the site. I will complete it after I reach the site.</v>
      </c>
    </row>
    <row r="11" spans="1:18" x14ac:dyDescent="0.35">
      <c r="A11" t="s">
        <v>10</v>
      </c>
      <c r="B11" t="s">
        <v>49</v>
      </c>
      <c r="C11" t="s">
        <v>50</v>
      </c>
      <c r="D11" t="s">
        <v>30</v>
      </c>
      <c r="E11" t="s">
        <v>31</v>
      </c>
      <c r="F11" t="s">
        <v>122</v>
      </c>
      <c r="G11" t="s">
        <v>112</v>
      </c>
      <c r="H11" t="s">
        <v>123</v>
      </c>
      <c r="I11" t="s">
        <v>124</v>
      </c>
      <c r="J11" t="s">
        <v>34</v>
      </c>
      <c r="K11" t="s">
        <v>125</v>
      </c>
      <c r="L11" t="s">
        <v>35</v>
      </c>
      <c r="M11" t="s">
        <v>7</v>
      </c>
      <c r="N11" t="s">
        <v>127</v>
      </c>
      <c r="O11" t="s">
        <v>127</v>
      </c>
      <c r="P11" t="s">
        <v>32</v>
      </c>
      <c r="Q11" t="s">
        <v>33</v>
      </c>
      <c r="R11" t="str">
        <f>VLOOKUP(B11,'[1]All Current Month'!$B:$AJ,35,0)</f>
        <v>I am currently not at the site. I will complete it after I reach the site.</v>
      </c>
    </row>
    <row r="12" spans="1:18" x14ac:dyDescent="0.35">
      <c r="A12" t="s">
        <v>10</v>
      </c>
      <c r="B12" t="s">
        <v>51</v>
      </c>
      <c r="C12" t="s">
        <v>52</v>
      </c>
      <c r="D12" t="s">
        <v>30</v>
      </c>
      <c r="E12" t="s">
        <v>31</v>
      </c>
      <c r="F12" t="s">
        <v>122</v>
      </c>
      <c r="G12" t="s">
        <v>112</v>
      </c>
      <c r="H12" t="s">
        <v>123</v>
      </c>
      <c r="I12" t="s">
        <v>124</v>
      </c>
      <c r="J12" t="s">
        <v>34</v>
      </c>
      <c r="K12" t="s">
        <v>125</v>
      </c>
      <c r="L12" t="s">
        <v>35</v>
      </c>
      <c r="M12" t="s">
        <v>7</v>
      </c>
      <c r="N12" t="s">
        <v>127</v>
      </c>
      <c r="O12" t="s">
        <v>127</v>
      </c>
      <c r="P12" t="s">
        <v>32</v>
      </c>
      <c r="Q12" t="s">
        <v>33</v>
      </c>
      <c r="R12" t="str">
        <f>VLOOKUP(B12,'[1]All Current Month'!$B:$AJ,35,0)</f>
        <v>I am currently not at the site. I will complete it after I reach the site.</v>
      </c>
    </row>
    <row r="13" spans="1:18" x14ac:dyDescent="0.35">
      <c r="A13" t="s">
        <v>10</v>
      </c>
      <c r="B13" t="s">
        <v>53</v>
      </c>
      <c r="C13" t="s">
        <v>54</v>
      </c>
      <c r="D13" t="s">
        <v>30</v>
      </c>
      <c r="E13" t="s">
        <v>31</v>
      </c>
      <c r="F13" t="s">
        <v>122</v>
      </c>
      <c r="G13" t="s">
        <v>112</v>
      </c>
      <c r="H13" t="s">
        <v>123</v>
      </c>
      <c r="I13" t="s">
        <v>124</v>
      </c>
      <c r="J13" t="s">
        <v>34</v>
      </c>
      <c r="K13" t="s">
        <v>125</v>
      </c>
      <c r="L13" t="s">
        <v>35</v>
      </c>
      <c r="M13" t="s">
        <v>7</v>
      </c>
      <c r="N13" t="s">
        <v>127</v>
      </c>
      <c r="O13" t="s">
        <v>127</v>
      </c>
      <c r="P13" t="s">
        <v>32</v>
      </c>
      <c r="Q13" t="s">
        <v>33</v>
      </c>
      <c r="R13" t="str">
        <f>VLOOKUP(B13,'[1]All Current Month'!$B:$AJ,35,0)</f>
        <v>I am currently not at the site. I will complete it after I reach the site.</v>
      </c>
    </row>
    <row r="14" spans="1:18" x14ac:dyDescent="0.35">
      <c r="A14" t="s">
        <v>10</v>
      </c>
      <c r="B14" t="s">
        <v>55</v>
      </c>
      <c r="C14" t="s">
        <v>56</v>
      </c>
      <c r="D14" t="s">
        <v>30</v>
      </c>
      <c r="E14" t="s">
        <v>31</v>
      </c>
      <c r="F14" t="s">
        <v>122</v>
      </c>
      <c r="G14" t="s">
        <v>112</v>
      </c>
      <c r="H14" t="s">
        <v>123</v>
      </c>
      <c r="I14" t="s">
        <v>124</v>
      </c>
      <c r="J14" t="s">
        <v>34</v>
      </c>
      <c r="K14" t="s">
        <v>125</v>
      </c>
      <c r="L14" t="s">
        <v>35</v>
      </c>
      <c r="M14" t="s">
        <v>7</v>
      </c>
      <c r="N14" t="s">
        <v>127</v>
      </c>
      <c r="O14" t="s">
        <v>127</v>
      </c>
      <c r="P14" t="s">
        <v>32</v>
      </c>
      <c r="Q14" t="s">
        <v>33</v>
      </c>
      <c r="R14" t="str">
        <f>VLOOKUP(B14,'[1]All Current Month'!$B:$AJ,35,0)</f>
        <v>I am currently not at the site. I will complete it after I reach the site.</v>
      </c>
    </row>
    <row r="15" spans="1:18" x14ac:dyDescent="0.35">
      <c r="A15" t="s">
        <v>10</v>
      </c>
      <c r="B15" t="s">
        <v>128</v>
      </c>
      <c r="C15" t="s">
        <v>129</v>
      </c>
      <c r="D15" t="s">
        <v>67</v>
      </c>
      <c r="E15" t="s">
        <v>71</v>
      </c>
      <c r="F15" t="s">
        <v>130</v>
      </c>
      <c r="G15" t="s">
        <v>112</v>
      </c>
      <c r="H15" t="s">
        <v>131</v>
      </c>
      <c r="I15" t="s">
        <v>124</v>
      </c>
      <c r="J15" t="s">
        <v>132</v>
      </c>
      <c r="K15" t="s">
        <v>133</v>
      </c>
      <c r="L15" t="s">
        <v>134</v>
      </c>
      <c r="M15" t="s">
        <v>117</v>
      </c>
      <c r="N15" t="s">
        <v>71</v>
      </c>
      <c r="O15" t="s">
        <v>118</v>
      </c>
      <c r="P15" t="s">
        <v>69</v>
      </c>
      <c r="Q15" t="s">
        <v>135</v>
      </c>
      <c r="R15" t="str">
        <f>VLOOKUP(B15,'[1]All Current Month'!$B:$AJ,35,0)</f>
        <v>Completed</v>
      </c>
    </row>
    <row r="16" spans="1:18" x14ac:dyDescent="0.35">
      <c r="A16" t="s">
        <v>10</v>
      </c>
      <c r="B16" t="s">
        <v>136</v>
      </c>
      <c r="C16" t="s">
        <v>137</v>
      </c>
      <c r="D16" t="s">
        <v>67</v>
      </c>
      <c r="E16" t="s">
        <v>71</v>
      </c>
      <c r="F16" t="s">
        <v>130</v>
      </c>
      <c r="G16" t="s">
        <v>112</v>
      </c>
      <c r="H16" t="s">
        <v>131</v>
      </c>
      <c r="I16" t="s">
        <v>124</v>
      </c>
      <c r="J16" t="s">
        <v>132</v>
      </c>
      <c r="K16" t="s">
        <v>133</v>
      </c>
      <c r="L16" t="s">
        <v>134</v>
      </c>
      <c r="M16" t="s">
        <v>117</v>
      </c>
      <c r="N16" t="s">
        <v>71</v>
      </c>
      <c r="O16" t="s">
        <v>118</v>
      </c>
      <c r="P16" t="s">
        <v>69</v>
      </c>
      <c r="Q16" t="s">
        <v>135</v>
      </c>
      <c r="R16" t="str">
        <f>VLOOKUP(B16,'[1]All Current Month'!$B:$AJ,35,0)</f>
        <v>Completed</v>
      </c>
    </row>
    <row r="17" spans="1:18" x14ac:dyDescent="0.35">
      <c r="A17" t="s">
        <v>10</v>
      </c>
      <c r="B17" t="s">
        <v>138</v>
      </c>
      <c r="C17" t="s">
        <v>139</v>
      </c>
      <c r="D17" t="s">
        <v>67</v>
      </c>
      <c r="E17" t="s">
        <v>71</v>
      </c>
      <c r="F17" t="s">
        <v>130</v>
      </c>
      <c r="G17" t="s">
        <v>112</v>
      </c>
      <c r="H17" t="s">
        <v>131</v>
      </c>
      <c r="I17" t="s">
        <v>124</v>
      </c>
      <c r="J17" t="s">
        <v>132</v>
      </c>
      <c r="K17" t="s">
        <v>133</v>
      </c>
      <c r="L17" t="s">
        <v>134</v>
      </c>
      <c r="M17" t="s">
        <v>117</v>
      </c>
      <c r="N17" t="s">
        <v>71</v>
      </c>
      <c r="O17" t="s">
        <v>118</v>
      </c>
      <c r="P17" t="s">
        <v>69</v>
      </c>
      <c r="Q17" t="s">
        <v>135</v>
      </c>
      <c r="R17" t="str">
        <f>VLOOKUP(B17,'[1]All Current Month'!$B:$AJ,35,0)</f>
        <v>Completed</v>
      </c>
    </row>
    <row r="18" spans="1:18" x14ac:dyDescent="0.35">
      <c r="A18" t="s">
        <v>10</v>
      </c>
      <c r="B18" t="s">
        <v>140</v>
      </c>
      <c r="C18" t="s">
        <v>141</v>
      </c>
      <c r="D18" t="s">
        <v>67</v>
      </c>
      <c r="E18" t="s">
        <v>71</v>
      </c>
      <c r="F18" t="s">
        <v>130</v>
      </c>
      <c r="G18" t="s">
        <v>112</v>
      </c>
      <c r="H18" t="s">
        <v>131</v>
      </c>
      <c r="I18" t="s">
        <v>124</v>
      </c>
      <c r="J18" t="s">
        <v>132</v>
      </c>
      <c r="K18" t="s">
        <v>133</v>
      </c>
      <c r="L18" t="s">
        <v>134</v>
      </c>
      <c r="M18" t="s">
        <v>117</v>
      </c>
      <c r="N18" t="s">
        <v>71</v>
      </c>
      <c r="O18" t="s">
        <v>118</v>
      </c>
      <c r="P18" t="s">
        <v>69</v>
      </c>
      <c r="Q18" t="s">
        <v>135</v>
      </c>
      <c r="R18" t="str">
        <f>VLOOKUP(B18,'[1]All Current Month'!$B:$AJ,35,0)</f>
        <v>Completed</v>
      </c>
    </row>
    <row r="19" spans="1:18" x14ac:dyDescent="0.35">
      <c r="A19" t="s">
        <v>12</v>
      </c>
      <c r="B19" t="s">
        <v>142</v>
      </c>
      <c r="C19" t="s">
        <v>143</v>
      </c>
      <c r="D19" t="s">
        <v>144</v>
      </c>
      <c r="E19" t="s">
        <v>145</v>
      </c>
      <c r="F19" t="s">
        <v>146</v>
      </c>
      <c r="G19" t="s">
        <v>147</v>
      </c>
      <c r="H19" t="s">
        <v>148</v>
      </c>
      <c r="I19" t="s">
        <v>149</v>
      </c>
      <c r="K19" t="s">
        <v>150</v>
      </c>
      <c r="L19" t="s">
        <v>145</v>
      </c>
      <c r="M19" t="s">
        <v>117</v>
      </c>
      <c r="N19" t="s">
        <v>35</v>
      </c>
      <c r="O19" t="s">
        <v>151</v>
      </c>
      <c r="P19" t="s">
        <v>151</v>
      </c>
      <c r="Q19" t="s">
        <v>126</v>
      </c>
      <c r="R19" t="s">
        <v>222</v>
      </c>
    </row>
    <row r="20" spans="1:18" x14ac:dyDescent="0.35">
      <c r="A20" t="s">
        <v>12</v>
      </c>
      <c r="B20" t="s">
        <v>152</v>
      </c>
      <c r="C20" t="s">
        <v>153</v>
      </c>
      <c r="D20" t="s">
        <v>154</v>
      </c>
      <c r="E20" t="s">
        <v>155</v>
      </c>
      <c r="F20" t="s">
        <v>156</v>
      </c>
      <c r="G20" t="s">
        <v>112</v>
      </c>
      <c r="H20" t="s">
        <v>123</v>
      </c>
      <c r="I20" t="s">
        <v>157</v>
      </c>
      <c r="K20" t="s">
        <v>158</v>
      </c>
      <c r="L20" t="s">
        <v>155</v>
      </c>
      <c r="M20" t="s">
        <v>159</v>
      </c>
      <c r="N20" t="s">
        <v>160</v>
      </c>
      <c r="O20" t="s">
        <v>118</v>
      </c>
      <c r="P20" t="s">
        <v>161</v>
      </c>
      <c r="Q20" t="s">
        <v>33</v>
      </c>
    </row>
    <row r="21" spans="1:18" x14ac:dyDescent="0.35">
      <c r="A21" t="s">
        <v>12</v>
      </c>
      <c r="B21" t="s">
        <v>162</v>
      </c>
      <c r="C21" t="s">
        <v>163</v>
      </c>
      <c r="D21" t="s">
        <v>154</v>
      </c>
      <c r="E21" t="s">
        <v>155</v>
      </c>
      <c r="F21" t="s">
        <v>156</v>
      </c>
      <c r="G21" t="s">
        <v>112</v>
      </c>
      <c r="H21" t="s">
        <v>123</v>
      </c>
      <c r="I21" t="s">
        <v>157</v>
      </c>
      <c r="K21" t="s">
        <v>158</v>
      </c>
      <c r="L21" t="s">
        <v>155</v>
      </c>
      <c r="M21" t="s">
        <v>159</v>
      </c>
      <c r="N21" t="s">
        <v>160</v>
      </c>
      <c r="O21" t="s">
        <v>118</v>
      </c>
      <c r="P21" t="s">
        <v>161</v>
      </c>
      <c r="Q21" t="s">
        <v>33</v>
      </c>
    </row>
    <row r="22" spans="1:18" x14ac:dyDescent="0.35">
      <c r="A22" t="s">
        <v>12</v>
      </c>
      <c r="B22" t="s">
        <v>164</v>
      </c>
      <c r="C22" t="s">
        <v>165</v>
      </c>
      <c r="D22" t="s">
        <v>166</v>
      </c>
      <c r="E22" t="s">
        <v>155</v>
      </c>
      <c r="F22" t="s">
        <v>156</v>
      </c>
      <c r="G22" t="s">
        <v>112</v>
      </c>
      <c r="H22" t="s">
        <v>123</v>
      </c>
      <c r="I22" t="s">
        <v>157</v>
      </c>
      <c r="K22" t="s">
        <v>167</v>
      </c>
      <c r="L22" t="s">
        <v>155</v>
      </c>
      <c r="M22" t="s">
        <v>159</v>
      </c>
      <c r="N22" t="s">
        <v>160</v>
      </c>
      <c r="O22" t="s">
        <v>118</v>
      </c>
      <c r="P22" t="s">
        <v>161</v>
      </c>
      <c r="Q22" t="s">
        <v>33</v>
      </c>
    </row>
    <row r="23" spans="1:18" x14ac:dyDescent="0.35">
      <c r="A23" t="s">
        <v>12</v>
      </c>
      <c r="B23" t="s">
        <v>168</v>
      </c>
      <c r="C23" t="s">
        <v>169</v>
      </c>
      <c r="D23" t="s">
        <v>170</v>
      </c>
      <c r="E23" t="s">
        <v>60</v>
      </c>
      <c r="F23" t="s">
        <v>171</v>
      </c>
      <c r="G23" t="s">
        <v>147</v>
      </c>
      <c r="H23" t="s">
        <v>172</v>
      </c>
      <c r="I23" t="s">
        <v>173</v>
      </c>
      <c r="K23" t="s">
        <v>174</v>
      </c>
      <c r="L23" t="s">
        <v>60</v>
      </c>
      <c r="M23" t="s">
        <v>159</v>
      </c>
      <c r="N23" t="s">
        <v>160</v>
      </c>
      <c r="O23" t="s">
        <v>32</v>
      </c>
      <c r="P23" t="s">
        <v>175</v>
      </c>
      <c r="Q23" t="s">
        <v>33</v>
      </c>
    </row>
    <row r="24" spans="1:18" x14ac:dyDescent="0.35">
      <c r="A24" t="s">
        <v>12</v>
      </c>
      <c r="B24" t="s">
        <v>176</v>
      </c>
      <c r="C24" t="s">
        <v>177</v>
      </c>
      <c r="D24" t="s">
        <v>170</v>
      </c>
      <c r="E24" t="s">
        <v>60</v>
      </c>
      <c r="F24" t="s">
        <v>171</v>
      </c>
      <c r="G24" t="s">
        <v>147</v>
      </c>
      <c r="H24" t="s">
        <v>172</v>
      </c>
      <c r="I24" t="s">
        <v>173</v>
      </c>
      <c r="K24" t="s">
        <v>174</v>
      </c>
      <c r="L24" t="s">
        <v>60</v>
      </c>
      <c r="M24" t="s">
        <v>159</v>
      </c>
      <c r="N24" t="s">
        <v>160</v>
      </c>
      <c r="O24" t="s">
        <v>32</v>
      </c>
      <c r="P24" t="s">
        <v>175</v>
      </c>
      <c r="Q24" t="s">
        <v>33</v>
      </c>
    </row>
    <row r="25" spans="1:18" x14ac:dyDescent="0.35">
      <c r="A25" t="s">
        <v>12</v>
      </c>
      <c r="B25" t="s">
        <v>178</v>
      </c>
      <c r="C25" t="s">
        <v>179</v>
      </c>
      <c r="D25" t="s">
        <v>59</v>
      </c>
      <c r="E25" t="s">
        <v>60</v>
      </c>
      <c r="F25" t="s">
        <v>111</v>
      </c>
      <c r="G25" t="s">
        <v>112</v>
      </c>
      <c r="H25" t="s">
        <v>113</v>
      </c>
      <c r="I25" t="s">
        <v>114</v>
      </c>
      <c r="K25" t="s">
        <v>180</v>
      </c>
      <c r="L25" t="s">
        <v>60</v>
      </c>
      <c r="M25" t="s">
        <v>159</v>
      </c>
      <c r="N25" t="s">
        <v>160</v>
      </c>
      <c r="O25" t="s">
        <v>32</v>
      </c>
      <c r="P25" t="s">
        <v>175</v>
      </c>
      <c r="Q25" t="s">
        <v>33</v>
      </c>
    </row>
    <row r="26" spans="1:18" x14ac:dyDescent="0.35">
      <c r="A26" t="s">
        <v>12</v>
      </c>
      <c r="B26" t="s">
        <v>181</v>
      </c>
      <c r="C26" t="s">
        <v>182</v>
      </c>
      <c r="D26" t="s">
        <v>59</v>
      </c>
      <c r="E26" t="s">
        <v>60</v>
      </c>
      <c r="F26" t="s">
        <v>111</v>
      </c>
      <c r="G26" t="s">
        <v>112</v>
      </c>
      <c r="H26" t="s">
        <v>113</v>
      </c>
      <c r="I26" t="s">
        <v>114</v>
      </c>
      <c r="K26" t="s">
        <v>183</v>
      </c>
      <c r="L26" t="s">
        <v>60</v>
      </c>
      <c r="M26" t="s">
        <v>159</v>
      </c>
      <c r="N26" t="s">
        <v>160</v>
      </c>
      <c r="O26" t="s">
        <v>32</v>
      </c>
      <c r="P26" t="s">
        <v>175</v>
      </c>
      <c r="Q26" t="s">
        <v>33</v>
      </c>
    </row>
    <row r="27" spans="1:18" x14ac:dyDescent="0.35">
      <c r="A27" t="s">
        <v>12</v>
      </c>
      <c r="B27" t="s">
        <v>184</v>
      </c>
      <c r="C27" t="s">
        <v>185</v>
      </c>
      <c r="D27" t="s">
        <v>154</v>
      </c>
      <c r="E27" t="s">
        <v>155</v>
      </c>
      <c r="F27" t="s">
        <v>156</v>
      </c>
      <c r="G27" t="s">
        <v>112</v>
      </c>
      <c r="H27" t="s">
        <v>123</v>
      </c>
      <c r="I27" t="s">
        <v>157</v>
      </c>
      <c r="K27" t="s">
        <v>186</v>
      </c>
      <c r="L27" t="s">
        <v>155</v>
      </c>
      <c r="M27" t="s">
        <v>159</v>
      </c>
      <c r="N27" t="s">
        <v>160</v>
      </c>
      <c r="O27" t="s">
        <v>187</v>
      </c>
      <c r="P27" t="s">
        <v>69</v>
      </c>
      <c r="Q27" t="s">
        <v>33</v>
      </c>
    </row>
    <row r="28" spans="1:18" x14ac:dyDescent="0.35">
      <c r="A28" t="s">
        <v>12</v>
      </c>
      <c r="B28" t="s">
        <v>188</v>
      </c>
      <c r="C28" t="s">
        <v>189</v>
      </c>
      <c r="D28" t="s">
        <v>190</v>
      </c>
      <c r="E28" t="s">
        <v>155</v>
      </c>
      <c r="F28" t="s">
        <v>156</v>
      </c>
      <c r="G28" t="s">
        <v>112</v>
      </c>
      <c r="H28" t="s">
        <v>123</v>
      </c>
      <c r="I28" t="s">
        <v>157</v>
      </c>
      <c r="K28" t="s">
        <v>191</v>
      </c>
      <c r="L28" t="s">
        <v>155</v>
      </c>
      <c r="M28" t="s">
        <v>117</v>
      </c>
      <c r="N28" t="s">
        <v>192</v>
      </c>
      <c r="O28" t="s">
        <v>69</v>
      </c>
      <c r="P28" t="s">
        <v>69</v>
      </c>
      <c r="Q28" t="s">
        <v>126</v>
      </c>
      <c r="R28" t="str">
        <f>VLOOKUP(B28,'[1]All Current Month'!$B:$AJ,35,0)</f>
        <v>Completed</v>
      </c>
    </row>
    <row r="29" spans="1:18" x14ac:dyDescent="0.35">
      <c r="A29" t="s">
        <v>14</v>
      </c>
      <c r="B29" t="s">
        <v>57</v>
      </c>
      <c r="C29" t="s">
        <v>58</v>
      </c>
      <c r="D29" t="s">
        <v>59</v>
      </c>
      <c r="E29" t="s">
        <v>60</v>
      </c>
      <c r="F29" t="s">
        <v>111</v>
      </c>
      <c r="G29" t="s">
        <v>112</v>
      </c>
      <c r="H29" t="s">
        <v>113</v>
      </c>
      <c r="I29" t="s">
        <v>114</v>
      </c>
      <c r="J29" t="s">
        <v>62</v>
      </c>
      <c r="L29" t="s">
        <v>63</v>
      </c>
      <c r="M29" t="s">
        <v>7</v>
      </c>
      <c r="P29" t="s">
        <v>61</v>
      </c>
    </row>
    <row r="30" spans="1:18" x14ac:dyDescent="0.35">
      <c r="A30" t="s">
        <v>14</v>
      </c>
      <c r="B30" t="s">
        <v>193</v>
      </c>
      <c r="C30" t="s">
        <v>194</v>
      </c>
      <c r="D30" t="s">
        <v>195</v>
      </c>
      <c r="E30" t="s">
        <v>31</v>
      </c>
      <c r="F30" t="s">
        <v>122</v>
      </c>
      <c r="G30" t="s">
        <v>112</v>
      </c>
      <c r="H30" t="s">
        <v>123</v>
      </c>
      <c r="I30" t="s">
        <v>124</v>
      </c>
      <c r="J30" t="s">
        <v>196</v>
      </c>
      <c r="L30" t="s">
        <v>197</v>
      </c>
      <c r="M30" t="s">
        <v>198</v>
      </c>
      <c r="P30" t="s">
        <v>151</v>
      </c>
      <c r="R30" t="s">
        <v>222</v>
      </c>
    </row>
    <row r="31" spans="1:18" x14ac:dyDescent="0.35">
      <c r="A31" t="s">
        <v>14</v>
      </c>
      <c r="B31" t="s">
        <v>199</v>
      </c>
      <c r="C31" t="s">
        <v>200</v>
      </c>
      <c r="D31" t="s">
        <v>195</v>
      </c>
      <c r="E31" t="s">
        <v>31</v>
      </c>
      <c r="F31" t="s">
        <v>122</v>
      </c>
      <c r="G31" t="s">
        <v>112</v>
      </c>
      <c r="H31" t="s">
        <v>123</v>
      </c>
      <c r="I31" t="s">
        <v>124</v>
      </c>
      <c r="J31" t="s">
        <v>196</v>
      </c>
      <c r="L31" t="s">
        <v>197</v>
      </c>
      <c r="M31" t="s">
        <v>198</v>
      </c>
      <c r="P31" t="s">
        <v>151</v>
      </c>
      <c r="R31" t="s">
        <v>222</v>
      </c>
    </row>
    <row r="32" spans="1:18" x14ac:dyDescent="0.35">
      <c r="A32" t="s">
        <v>14</v>
      </c>
      <c r="B32" t="s">
        <v>201</v>
      </c>
      <c r="C32" t="s">
        <v>202</v>
      </c>
      <c r="D32" t="s">
        <v>170</v>
      </c>
      <c r="E32" t="s">
        <v>60</v>
      </c>
      <c r="F32" t="s">
        <v>171</v>
      </c>
      <c r="G32" t="s">
        <v>147</v>
      </c>
      <c r="H32" t="s">
        <v>172</v>
      </c>
      <c r="I32" t="s">
        <v>173</v>
      </c>
      <c r="J32" t="s">
        <v>203</v>
      </c>
      <c r="L32" t="s">
        <v>204</v>
      </c>
      <c r="M32" t="s">
        <v>198</v>
      </c>
      <c r="P32" t="s">
        <v>118</v>
      </c>
      <c r="R32" t="s">
        <v>222</v>
      </c>
    </row>
    <row r="33" spans="1:18" x14ac:dyDescent="0.35">
      <c r="A33" t="s">
        <v>14</v>
      </c>
      <c r="B33" t="s">
        <v>205</v>
      </c>
      <c r="C33" t="s">
        <v>179</v>
      </c>
      <c r="D33" t="s">
        <v>59</v>
      </c>
      <c r="E33" t="s">
        <v>60</v>
      </c>
      <c r="F33" t="s">
        <v>111</v>
      </c>
      <c r="G33" t="s">
        <v>112</v>
      </c>
      <c r="H33" t="s">
        <v>113</v>
      </c>
      <c r="I33" t="s">
        <v>114</v>
      </c>
      <c r="J33" t="s">
        <v>206</v>
      </c>
      <c r="L33" t="s">
        <v>63</v>
      </c>
      <c r="M33" t="s">
        <v>117</v>
      </c>
      <c r="P33" t="s">
        <v>32</v>
      </c>
      <c r="R33" t="s">
        <v>222</v>
      </c>
    </row>
    <row r="34" spans="1:18" x14ac:dyDescent="0.35">
      <c r="A34" t="s">
        <v>14</v>
      </c>
      <c r="B34" t="s">
        <v>207</v>
      </c>
      <c r="C34" t="s">
        <v>182</v>
      </c>
      <c r="D34" t="s">
        <v>59</v>
      </c>
      <c r="E34" t="s">
        <v>60</v>
      </c>
      <c r="F34" t="s">
        <v>111</v>
      </c>
      <c r="G34" t="s">
        <v>112</v>
      </c>
      <c r="H34" t="s">
        <v>113</v>
      </c>
      <c r="I34" t="s">
        <v>114</v>
      </c>
      <c r="J34" t="s">
        <v>208</v>
      </c>
      <c r="L34" t="s">
        <v>63</v>
      </c>
      <c r="M34" t="s">
        <v>117</v>
      </c>
      <c r="P34" t="s">
        <v>32</v>
      </c>
      <c r="R34" t="s">
        <v>222</v>
      </c>
    </row>
    <row r="35" spans="1:18" x14ac:dyDescent="0.35">
      <c r="A35" t="s">
        <v>14</v>
      </c>
      <c r="B35" t="s">
        <v>209</v>
      </c>
      <c r="C35" t="s">
        <v>210</v>
      </c>
      <c r="D35" t="s">
        <v>211</v>
      </c>
      <c r="E35" t="s">
        <v>155</v>
      </c>
      <c r="F35" t="s">
        <v>156</v>
      </c>
      <c r="G35" t="s">
        <v>112</v>
      </c>
      <c r="H35" t="s">
        <v>123</v>
      </c>
      <c r="I35" t="s">
        <v>157</v>
      </c>
      <c r="J35" t="s">
        <v>212</v>
      </c>
      <c r="L35" t="s">
        <v>192</v>
      </c>
      <c r="M35" t="s">
        <v>117</v>
      </c>
      <c r="P35" t="s">
        <v>32</v>
      </c>
      <c r="R35" t="str">
        <f>VLOOKUP(B35,'[1]All Current Month'!$B:$AJ,35,0)</f>
        <v>Completed</v>
      </c>
    </row>
    <row r="36" spans="1:18" x14ac:dyDescent="0.35">
      <c r="A36" t="s">
        <v>14</v>
      </c>
      <c r="B36" t="s">
        <v>213</v>
      </c>
      <c r="C36" t="s">
        <v>214</v>
      </c>
      <c r="D36" t="s">
        <v>87</v>
      </c>
      <c r="E36" t="s">
        <v>60</v>
      </c>
      <c r="F36" t="s">
        <v>171</v>
      </c>
      <c r="G36" t="s">
        <v>147</v>
      </c>
      <c r="H36" t="s">
        <v>172</v>
      </c>
      <c r="I36" t="s">
        <v>173</v>
      </c>
      <c r="J36" t="s">
        <v>215</v>
      </c>
      <c r="L36" t="s">
        <v>85</v>
      </c>
      <c r="M36" t="s">
        <v>117</v>
      </c>
      <c r="P36" t="s">
        <v>175</v>
      </c>
      <c r="R36" t="str">
        <f>VLOOKUP(B36,'[1]All Current Month'!$B:$AJ,35,0)</f>
        <v>Completed</v>
      </c>
    </row>
    <row r="37" spans="1:18" x14ac:dyDescent="0.35">
      <c r="A37" t="s">
        <v>14</v>
      </c>
      <c r="B37" t="s">
        <v>216</v>
      </c>
      <c r="C37" t="s">
        <v>217</v>
      </c>
      <c r="D37" t="s">
        <v>166</v>
      </c>
      <c r="E37" t="s">
        <v>155</v>
      </c>
      <c r="F37" t="s">
        <v>156</v>
      </c>
      <c r="G37" t="s">
        <v>112</v>
      </c>
      <c r="H37" t="s">
        <v>123</v>
      </c>
      <c r="I37" t="s">
        <v>157</v>
      </c>
      <c r="J37" t="s">
        <v>212</v>
      </c>
      <c r="L37" t="s">
        <v>192</v>
      </c>
      <c r="M37" t="s">
        <v>117</v>
      </c>
      <c r="P37" t="s">
        <v>69</v>
      </c>
      <c r="R37" t="str">
        <f>VLOOKUP(B37,'[1]All Current Month'!$B:$AJ,35,0)</f>
        <v>Completed</v>
      </c>
    </row>
    <row r="38" spans="1:18" x14ac:dyDescent="0.35">
      <c r="A38" t="s">
        <v>14</v>
      </c>
      <c r="B38" t="s">
        <v>65</v>
      </c>
      <c r="C38" t="s">
        <v>66</v>
      </c>
      <c r="D38" t="s">
        <v>67</v>
      </c>
      <c r="E38" t="s">
        <v>68</v>
      </c>
      <c r="F38" t="s">
        <v>130</v>
      </c>
      <c r="G38" t="s">
        <v>112</v>
      </c>
      <c r="H38" t="s">
        <v>131</v>
      </c>
      <c r="I38" t="s">
        <v>124</v>
      </c>
      <c r="J38" t="s">
        <v>70</v>
      </c>
      <c r="L38" t="s">
        <v>71</v>
      </c>
      <c r="M38" t="s">
        <v>7</v>
      </c>
      <c r="P38" t="s">
        <v>69</v>
      </c>
    </row>
    <row r="39" spans="1:18" x14ac:dyDescent="0.35">
      <c r="A39" t="s">
        <v>14</v>
      </c>
      <c r="B39" t="s">
        <v>72</v>
      </c>
      <c r="C39" t="s">
        <v>73</v>
      </c>
      <c r="D39" t="s">
        <v>74</v>
      </c>
      <c r="E39" t="s">
        <v>68</v>
      </c>
      <c r="F39" t="s">
        <v>130</v>
      </c>
      <c r="G39" t="s">
        <v>112</v>
      </c>
      <c r="H39" t="s">
        <v>131</v>
      </c>
      <c r="I39" t="s">
        <v>124</v>
      </c>
      <c r="J39" t="s">
        <v>70</v>
      </c>
      <c r="L39" t="s">
        <v>71</v>
      </c>
      <c r="M39" t="s">
        <v>7</v>
      </c>
      <c r="P39" t="s">
        <v>69</v>
      </c>
    </row>
    <row r="40" spans="1:18" x14ac:dyDescent="0.35">
      <c r="A40" t="s">
        <v>14</v>
      </c>
      <c r="B40" t="s">
        <v>218</v>
      </c>
      <c r="C40" t="s">
        <v>182</v>
      </c>
      <c r="D40" t="s">
        <v>59</v>
      </c>
      <c r="E40" t="s">
        <v>60</v>
      </c>
      <c r="F40" t="s">
        <v>111</v>
      </c>
      <c r="G40" t="s">
        <v>112</v>
      </c>
      <c r="H40" t="s">
        <v>113</v>
      </c>
      <c r="I40" t="s">
        <v>114</v>
      </c>
      <c r="J40" t="s">
        <v>219</v>
      </c>
      <c r="L40" t="s">
        <v>63</v>
      </c>
      <c r="M40" t="s">
        <v>198</v>
      </c>
      <c r="P40" t="s">
        <v>69</v>
      </c>
      <c r="R40" t="str">
        <f>VLOOKUP(B40,'[1]All Current Month'!$B:$AJ,35,0)</f>
        <v>Completed</v>
      </c>
    </row>
    <row r="41" spans="1:18" x14ac:dyDescent="0.35">
      <c r="A41" t="s">
        <v>16</v>
      </c>
      <c r="E41" t="s">
        <v>60</v>
      </c>
      <c r="L41" t="s">
        <v>79</v>
      </c>
      <c r="M41" t="s">
        <v>7</v>
      </c>
    </row>
    <row r="42" spans="1:18" x14ac:dyDescent="0.35">
      <c r="A42" t="s">
        <v>16</v>
      </c>
      <c r="E42" t="s">
        <v>60</v>
      </c>
      <c r="L42" t="s">
        <v>79</v>
      </c>
      <c r="M42" t="s">
        <v>7</v>
      </c>
    </row>
    <row r="43" spans="1:18" x14ac:dyDescent="0.35">
      <c r="A43" t="s">
        <v>16</v>
      </c>
      <c r="E43" t="s">
        <v>60</v>
      </c>
      <c r="L43" t="s">
        <v>79</v>
      </c>
      <c r="M43" t="s">
        <v>7</v>
      </c>
    </row>
    <row r="44" spans="1:18" x14ac:dyDescent="0.35">
      <c r="A44" t="s">
        <v>16</v>
      </c>
      <c r="E44" t="s">
        <v>60</v>
      </c>
      <c r="L44" t="s">
        <v>85</v>
      </c>
      <c r="M44" t="s">
        <v>7</v>
      </c>
    </row>
    <row r="45" spans="1:18" x14ac:dyDescent="0.35">
      <c r="A45" t="s">
        <v>16</v>
      </c>
      <c r="E45" t="s">
        <v>60</v>
      </c>
      <c r="L45" t="s">
        <v>85</v>
      </c>
      <c r="M45" t="s">
        <v>7</v>
      </c>
    </row>
    <row r="46" spans="1:18" x14ac:dyDescent="0.35">
      <c r="A46" t="s">
        <v>16</v>
      </c>
      <c r="E46" t="s">
        <v>60</v>
      </c>
      <c r="L46" t="s">
        <v>85</v>
      </c>
      <c r="M46" t="s">
        <v>7</v>
      </c>
    </row>
    <row r="47" spans="1:18" x14ac:dyDescent="0.35">
      <c r="A47" t="s">
        <v>16</v>
      </c>
      <c r="E47" t="s">
        <v>60</v>
      </c>
      <c r="L47" t="s">
        <v>85</v>
      </c>
      <c r="M47" t="s">
        <v>7</v>
      </c>
    </row>
    <row r="48" spans="1:18" x14ac:dyDescent="0.35">
      <c r="A48" t="s">
        <v>16</v>
      </c>
      <c r="E48" t="s">
        <v>60</v>
      </c>
      <c r="L48" t="s">
        <v>85</v>
      </c>
      <c r="M48" t="s">
        <v>7</v>
      </c>
    </row>
    <row r="49" spans="1:18" x14ac:dyDescent="0.35">
      <c r="A49" t="s">
        <v>16</v>
      </c>
      <c r="E49" t="s">
        <v>60</v>
      </c>
      <c r="L49" t="s">
        <v>85</v>
      </c>
      <c r="M49" t="s">
        <v>7</v>
      </c>
    </row>
    <row r="50" spans="1:18" x14ac:dyDescent="0.35">
      <c r="A50" t="s">
        <v>16</v>
      </c>
      <c r="E50" t="s">
        <v>145</v>
      </c>
      <c r="L50" t="s">
        <v>35</v>
      </c>
      <c r="M50" t="s">
        <v>198</v>
      </c>
      <c r="R50" t="s">
        <v>222</v>
      </c>
    </row>
    <row r="51" spans="1:18" x14ac:dyDescent="0.35">
      <c r="A51" t="s">
        <v>16</v>
      </c>
      <c r="E51" t="s">
        <v>94</v>
      </c>
      <c r="L51" t="s">
        <v>97</v>
      </c>
      <c r="M51" t="s">
        <v>7</v>
      </c>
    </row>
    <row r="52" spans="1:18" x14ac:dyDescent="0.35">
      <c r="A52" t="s">
        <v>16</v>
      </c>
      <c r="E52" t="s">
        <v>94</v>
      </c>
      <c r="L52" t="s">
        <v>97</v>
      </c>
      <c r="M52" t="s">
        <v>7</v>
      </c>
    </row>
    <row r="53" spans="1:18" x14ac:dyDescent="0.35">
      <c r="A53" t="s">
        <v>16</v>
      </c>
      <c r="E53" t="s">
        <v>155</v>
      </c>
      <c r="L53" t="s">
        <v>192</v>
      </c>
      <c r="M53" t="s">
        <v>198</v>
      </c>
    </row>
  </sheetData>
  <autoFilter ref="A1:R53" xr:uid="{00000000-0001-0000-02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Open Ticket Summary</vt:lpstr>
      <vt:lpstr>Open Tickets</vt:lpstr>
      <vt:lpstr>All Current 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Yerajerla Durgaprasad</cp:lastModifiedBy>
  <dcterms:created xsi:type="dcterms:W3CDTF">2026-10-08T06:58:50Z</dcterms:created>
  <dcterms:modified xsi:type="dcterms:W3CDTF">2026-10-08T07:31:44Z</dcterms:modified>
</cp:coreProperties>
</file>